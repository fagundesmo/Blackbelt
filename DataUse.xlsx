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f1128/Desktop/"/>
    </mc:Choice>
  </mc:AlternateContent>
  <xr:revisionPtr revIDLastSave="0" documentId="8_{324C681E-5AAA-8B47-94E4-00CEB1F0814F}" xr6:coauthVersionLast="47" xr6:coauthVersionMax="47" xr10:uidLastSave="{00000000-0000-0000-0000-000000000000}"/>
  <bookViews>
    <workbookView xWindow="0" yWindow="760" windowWidth="30240" windowHeight="18880" xr2:uid="{9718D88E-4376-F148-99A1-79CAF1CC7094}"/>
  </bookViews>
  <sheets>
    <sheet name="dat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0" i="1" l="1"/>
  <c r="B82" i="1" s="1"/>
  <c r="B94" i="1" s="1"/>
  <c r="B106" i="1" s="1"/>
  <c r="B118" i="1" s="1"/>
  <c r="B130" i="1" s="1"/>
  <c r="B142" i="1" s="1"/>
  <c r="B154" i="1" s="1"/>
  <c r="B166" i="1" s="1"/>
  <c r="B178" i="1" s="1"/>
  <c r="B190" i="1" s="1"/>
  <c r="B202" i="1" s="1"/>
  <c r="B214" i="1" s="1"/>
  <c r="B226" i="1" s="1"/>
  <c r="B238" i="1" s="1"/>
  <c r="B250" i="1" s="1"/>
  <c r="B262" i="1" s="1"/>
  <c r="B274" i="1" s="1"/>
  <c r="B286" i="1" s="1"/>
  <c r="B298" i="1" s="1"/>
  <c r="B310" i="1" s="1"/>
  <c r="A56" i="1"/>
  <c r="B51" i="1"/>
  <c r="B63" i="1" s="1"/>
  <c r="B75" i="1" s="1"/>
  <c r="B87" i="1" s="1"/>
  <c r="B99" i="1" s="1"/>
  <c r="B111" i="1" s="1"/>
  <c r="B123" i="1" s="1"/>
  <c r="B135" i="1" s="1"/>
  <c r="B147" i="1" s="1"/>
  <c r="B159" i="1" s="1"/>
  <c r="B171" i="1" s="1"/>
  <c r="B183" i="1" s="1"/>
  <c r="B195" i="1" s="1"/>
  <c r="B207" i="1" s="1"/>
  <c r="B219" i="1" s="1"/>
  <c r="B231" i="1" s="1"/>
  <c r="B243" i="1" s="1"/>
  <c r="B255" i="1" s="1"/>
  <c r="B267" i="1" s="1"/>
  <c r="B279" i="1" s="1"/>
  <c r="B291" i="1" s="1"/>
  <c r="B303" i="1" s="1"/>
  <c r="B49" i="1"/>
  <c r="B61" i="1" s="1"/>
  <c r="B73" i="1" s="1"/>
  <c r="B85" i="1" s="1"/>
  <c r="B97" i="1" s="1"/>
  <c r="B109" i="1" s="1"/>
  <c r="B121" i="1" s="1"/>
  <c r="B133" i="1" s="1"/>
  <c r="B145" i="1" s="1"/>
  <c r="B157" i="1" s="1"/>
  <c r="B169" i="1" s="1"/>
  <c r="B181" i="1" s="1"/>
  <c r="B193" i="1" s="1"/>
  <c r="B205" i="1" s="1"/>
  <c r="B217" i="1" s="1"/>
  <c r="B229" i="1" s="1"/>
  <c r="B241" i="1" s="1"/>
  <c r="B253" i="1" s="1"/>
  <c r="B265" i="1" s="1"/>
  <c r="B277" i="1" s="1"/>
  <c r="B289" i="1" s="1"/>
  <c r="B301" i="1" s="1"/>
  <c r="B44" i="1"/>
  <c r="B56" i="1" s="1"/>
  <c r="B68" i="1" s="1"/>
  <c r="B80" i="1" s="1"/>
  <c r="B92" i="1" s="1"/>
  <c r="B104" i="1" s="1"/>
  <c r="B116" i="1" s="1"/>
  <c r="B128" i="1" s="1"/>
  <c r="B140" i="1" s="1"/>
  <c r="B152" i="1" s="1"/>
  <c r="B164" i="1" s="1"/>
  <c r="B176" i="1" s="1"/>
  <c r="B188" i="1" s="1"/>
  <c r="B200" i="1" s="1"/>
  <c r="B212" i="1" s="1"/>
  <c r="B224" i="1" s="1"/>
  <c r="B236" i="1" s="1"/>
  <c r="B248" i="1" s="1"/>
  <c r="B260" i="1" s="1"/>
  <c r="B272" i="1" s="1"/>
  <c r="B284" i="1" s="1"/>
  <c r="B296" i="1" s="1"/>
  <c r="B308" i="1" s="1"/>
  <c r="A44" i="1"/>
  <c r="C44" i="1" s="1"/>
  <c r="B40" i="1"/>
  <c r="B52" i="1" s="1"/>
  <c r="B64" i="1" s="1"/>
  <c r="B76" i="1" s="1"/>
  <c r="B88" i="1" s="1"/>
  <c r="B100" i="1" s="1"/>
  <c r="B112" i="1" s="1"/>
  <c r="B124" i="1" s="1"/>
  <c r="B136" i="1" s="1"/>
  <c r="B148" i="1" s="1"/>
  <c r="B160" i="1" s="1"/>
  <c r="B172" i="1" s="1"/>
  <c r="B184" i="1" s="1"/>
  <c r="B196" i="1" s="1"/>
  <c r="B208" i="1" s="1"/>
  <c r="B220" i="1" s="1"/>
  <c r="B232" i="1" s="1"/>
  <c r="B244" i="1" s="1"/>
  <c r="B256" i="1" s="1"/>
  <c r="B268" i="1" s="1"/>
  <c r="B280" i="1" s="1"/>
  <c r="B292" i="1" s="1"/>
  <c r="B304" i="1" s="1"/>
  <c r="B37" i="1"/>
  <c r="C37" i="1" s="1"/>
  <c r="A37" i="1"/>
  <c r="A49" i="1" s="1"/>
  <c r="B34" i="1"/>
  <c r="B46" i="1" s="1"/>
  <c r="B58" i="1" s="1"/>
  <c r="A34" i="1"/>
  <c r="C34" i="1" s="1"/>
  <c r="B33" i="1"/>
  <c r="B45" i="1" s="1"/>
  <c r="B57" i="1" s="1"/>
  <c r="B69" i="1" s="1"/>
  <c r="B81" i="1" s="1"/>
  <c r="B93" i="1" s="1"/>
  <c r="B105" i="1" s="1"/>
  <c r="B117" i="1" s="1"/>
  <c r="B129" i="1" s="1"/>
  <c r="B141" i="1" s="1"/>
  <c r="B153" i="1" s="1"/>
  <c r="B165" i="1" s="1"/>
  <c r="B177" i="1" s="1"/>
  <c r="B189" i="1" s="1"/>
  <c r="B201" i="1" s="1"/>
  <c r="B213" i="1" s="1"/>
  <c r="B225" i="1" s="1"/>
  <c r="B237" i="1" s="1"/>
  <c r="B249" i="1" s="1"/>
  <c r="B261" i="1" s="1"/>
  <c r="B273" i="1" s="1"/>
  <c r="B285" i="1" s="1"/>
  <c r="B297" i="1" s="1"/>
  <c r="B309" i="1" s="1"/>
  <c r="A33" i="1"/>
  <c r="A45" i="1" s="1"/>
  <c r="A57" i="1" s="1"/>
  <c r="A31" i="1"/>
  <c r="C30" i="1"/>
  <c r="B30" i="1"/>
  <c r="B42" i="1" s="1"/>
  <c r="B54" i="1" s="1"/>
  <c r="B66" i="1" s="1"/>
  <c r="B78" i="1" s="1"/>
  <c r="B90" i="1" s="1"/>
  <c r="B102" i="1" s="1"/>
  <c r="B114" i="1" s="1"/>
  <c r="B126" i="1" s="1"/>
  <c r="B138" i="1" s="1"/>
  <c r="B150" i="1" s="1"/>
  <c r="B162" i="1" s="1"/>
  <c r="B174" i="1" s="1"/>
  <c r="B186" i="1" s="1"/>
  <c r="B198" i="1" s="1"/>
  <c r="B210" i="1" s="1"/>
  <c r="B222" i="1" s="1"/>
  <c r="B234" i="1" s="1"/>
  <c r="B246" i="1" s="1"/>
  <c r="B258" i="1" s="1"/>
  <c r="B270" i="1" s="1"/>
  <c r="B282" i="1" s="1"/>
  <c r="B294" i="1" s="1"/>
  <c r="B306" i="1" s="1"/>
  <c r="A30" i="1"/>
  <c r="A42" i="1" s="1"/>
  <c r="B29" i="1"/>
  <c r="B41" i="1" s="1"/>
  <c r="B53" i="1" s="1"/>
  <c r="B65" i="1" s="1"/>
  <c r="B77" i="1" s="1"/>
  <c r="B89" i="1" s="1"/>
  <c r="B101" i="1" s="1"/>
  <c r="B113" i="1" s="1"/>
  <c r="B125" i="1" s="1"/>
  <c r="B137" i="1" s="1"/>
  <c r="B149" i="1" s="1"/>
  <c r="B161" i="1" s="1"/>
  <c r="B173" i="1" s="1"/>
  <c r="B185" i="1" s="1"/>
  <c r="B197" i="1" s="1"/>
  <c r="B209" i="1" s="1"/>
  <c r="B221" i="1" s="1"/>
  <c r="B233" i="1" s="1"/>
  <c r="B245" i="1" s="1"/>
  <c r="B257" i="1" s="1"/>
  <c r="B269" i="1" s="1"/>
  <c r="B281" i="1" s="1"/>
  <c r="B293" i="1" s="1"/>
  <c r="B305" i="1" s="1"/>
  <c r="B27" i="1"/>
  <c r="B39" i="1" s="1"/>
  <c r="A27" i="1"/>
  <c r="A39" i="1" s="1"/>
  <c r="B26" i="1"/>
  <c r="B38" i="1" s="1"/>
  <c r="B50" i="1" s="1"/>
  <c r="B62" i="1" s="1"/>
  <c r="B74" i="1" s="1"/>
  <c r="B86" i="1" s="1"/>
  <c r="B98" i="1" s="1"/>
  <c r="B110" i="1" s="1"/>
  <c r="B122" i="1" s="1"/>
  <c r="B134" i="1" s="1"/>
  <c r="B146" i="1" s="1"/>
  <c r="B158" i="1" s="1"/>
  <c r="B170" i="1" s="1"/>
  <c r="B182" i="1" s="1"/>
  <c r="B194" i="1" s="1"/>
  <c r="B206" i="1" s="1"/>
  <c r="B218" i="1" s="1"/>
  <c r="B230" i="1" s="1"/>
  <c r="B242" i="1" s="1"/>
  <c r="B254" i="1" s="1"/>
  <c r="B266" i="1" s="1"/>
  <c r="B278" i="1" s="1"/>
  <c r="B290" i="1" s="1"/>
  <c r="B302" i="1" s="1"/>
  <c r="A26" i="1"/>
  <c r="B25" i="1"/>
  <c r="A25" i="1"/>
  <c r="C25" i="1" s="1"/>
  <c r="B24" i="1"/>
  <c r="B36" i="1" s="1"/>
  <c r="B48" i="1" s="1"/>
  <c r="B60" i="1" s="1"/>
  <c r="B72" i="1" s="1"/>
  <c r="B84" i="1" s="1"/>
  <c r="B96" i="1" s="1"/>
  <c r="B108" i="1" s="1"/>
  <c r="B120" i="1" s="1"/>
  <c r="B132" i="1" s="1"/>
  <c r="B144" i="1" s="1"/>
  <c r="B156" i="1" s="1"/>
  <c r="B168" i="1" s="1"/>
  <c r="B180" i="1" s="1"/>
  <c r="B192" i="1" s="1"/>
  <c r="B204" i="1" s="1"/>
  <c r="B216" i="1" s="1"/>
  <c r="B228" i="1" s="1"/>
  <c r="B240" i="1" s="1"/>
  <c r="B252" i="1" s="1"/>
  <c r="B264" i="1" s="1"/>
  <c r="B276" i="1" s="1"/>
  <c r="B288" i="1" s="1"/>
  <c r="B300" i="1" s="1"/>
  <c r="A24" i="1"/>
  <c r="B23" i="1"/>
  <c r="B35" i="1" s="1"/>
  <c r="B47" i="1" s="1"/>
  <c r="B59" i="1" s="1"/>
  <c r="B71" i="1" s="1"/>
  <c r="B83" i="1" s="1"/>
  <c r="B95" i="1" s="1"/>
  <c r="B107" i="1" s="1"/>
  <c r="B119" i="1" s="1"/>
  <c r="B131" i="1" s="1"/>
  <c r="B143" i="1" s="1"/>
  <c r="B155" i="1" s="1"/>
  <c r="B167" i="1" s="1"/>
  <c r="B179" i="1" s="1"/>
  <c r="B191" i="1" s="1"/>
  <c r="B203" i="1" s="1"/>
  <c r="B215" i="1" s="1"/>
  <c r="B227" i="1" s="1"/>
  <c r="B239" i="1" s="1"/>
  <c r="B251" i="1" s="1"/>
  <c r="B263" i="1" s="1"/>
  <c r="B275" i="1" s="1"/>
  <c r="B287" i="1" s="1"/>
  <c r="B299" i="1" s="1"/>
  <c r="B311" i="1" s="1"/>
  <c r="A23" i="1"/>
  <c r="A35" i="1" s="1"/>
  <c r="C22" i="1"/>
  <c r="B22" i="1"/>
  <c r="A22" i="1"/>
  <c r="B21" i="1"/>
  <c r="A21" i="1"/>
  <c r="C21" i="1" s="1"/>
  <c r="B20" i="1"/>
  <c r="B32" i="1" s="1"/>
  <c r="A20" i="1"/>
  <c r="A32" i="1" s="1"/>
  <c r="B19" i="1"/>
  <c r="B31" i="1" s="1"/>
  <c r="B43" i="1" s="1"/>
  <c r="B55" i="1" s="1"/>
  <c r="B67" i="1" s="1"/>
  <c r="B79" i="1" s="1"/>
  <c r="B91" i="1" s="1"/>
  <c r="B103" i="1" s="1"/>
  <c r="B115" i="1" s="1"/>
  <c r="B127" i="1" s="1"/>
  <c r="B139" i="1" s="1"/>
  <c r="B151" i="1" s="1"/>
  <c r="B163" i="1" s="1"/>
  <c r="B175" i="1" s="1"/>
  <c r="B187" i="1" s="1"/>
  <c r="B199" i="1" s="1"/>
  <c r="B211" i="1" s="1"/>
  <c r="B223" i="1" s="1"/>
  <c r="B235" i="1" s="1"/>
  <c r="B247" i="1" s="1"/>
  <c r="B259" i="1" s="1"/>
  <c r="B271" i="1" s="1"/>
  <c r="B283" i="1" s="1"/>
  <c r="B295" i="1" s="1"/>
  <c r="B307" i="1" s="1"/>
  <c r="A19" i="1"/>
  <c r="B18" i="1"/>
  <c r="A18" i="1"/>
  <c r="C18" i="1" s="1"/>
  <c r="C17" i="1"/>
  <c r="B17" i="1"/>
  <c r="A17" i="1"/>
  <c r="A29" i="1" s="1"/>
  <c r="C29" i="1" s="1"/>
  <c r="B16" i="1"/>
  <c r="B28" i="1" s="1"/>
  <c r="A16" i="1"/>
  <c r="A28" i="1" s="1"/>
  <c r="B15" i="1"/>
  <c r="A15" i="1"/>
  <c r="C15" i="1" s="1"/>
  <c r="B14" i="1"/>
  <c r="A14" i="1"/>
  <c r="C14" i="1" s="1"/>
  <c r="C13" i="1"/>
  <c r="C12" i="1"/>
  <c r="C11" i="1"/>
  <c r="C10" i="1"/>
  <c r="C9" i="1"/>
  <c r="C8" i="1"/>
  <c r="C7" i="1"/>
  <c r="C6" i="1"/>
  <c r="C5" i="1"/>
  <c r="C4" i="1"/>
  <c r="C3" i="1"/>
  <c r="C2" i="1"/>
  <c r="C56" i="1" l="1"/>
  <c r="A68" i="1"/>
  <c r="A61" i="1"/>
  <c r="C49" i="1"/>
  <c r="C31" i="1"/>
  <c r="A43" i="1"/>
  <c r="A69" i="1"/>
  <c r="C57" i="1"/>
  <c r="A38" i="1"/>
  <c r="C26" i="1"/>
  <c r="A54" i="1"/>
  <c r="C42" i="1"/>
  <c r="A51" i="1"/>
  <c r="C39" i="1"/>
  <c r="C45" i="1"/>
  <c r="C32" i="1"/>
  <c r="C23" i="1"/>
  <c r="C27" i="1"/>
  <c r="A46" i="1"/>
  <c r="A40" i="1"/>
  <c r="C28" i="1"/>
  <c r="A41" i="1"/>
  <c r="A47" i="1"/>
  <c r="C35" i="1"/>
  <c r="C19" i="1"/>
  <c r="C16" i="1"/>
  <c r="C20" i="1"/>
  <c r="C33" i="1"/>
  <c r="A36" i="1"/>
  <c r="C24" i="1"/>
  <c r="C40" i="1" l="1"/>
  <c r="A52" i="1"/>
  <c r="C36" i="1"/>
  <c r="A48" i="1"/>
  <c r="A58" i="1"/>
  <c r="C46" i="1"/>
  <c r="A50" i="1"/>
  <c r="C38" i="1"/>
  <c r="C69" i="1"/>
  <c r="A81" i="1"/>
  <c r="A55" i="1"/>
  <c r="C43" i="1"/>
  <c r="C47" i="1"/>
  <c r="A59" i="1"/>
  <c r="C51" i="1"/>
  <c r="A63" i="1"/>
  <c r="C61" i="1"/>
  <c r="A73" i="1"/>
  <c r="C41" i="1"/>
  <c r="A53" i="1"/>
  <c r="A80" i="1"/>
  <c r="C68" i="1"/>
  <c r="A66" i="1"/>
  <c r="C54" i="1"/>
  <c r="A65" i="1" l="1"/>
  <c r="C53" i="1"/>
  <c r="C81" i="1"/>
  <c r="A93" i="1"/>
  <c r="A85" i="1"/>
  <c r="C73" i="1"/>
  <c r="A62" i="1"/>
  <c r="C50" i="1"/>
  <c r="A75" i="1"/>
  <c r="C63" i="1"/>
  <c r="C58" i="1"/>
  <c r="A70" i="1"/>
  <c r="C59" i="1"/>
  <c r="A71" i="1"/>
  <c r="C48" i="1"/>
  <c r="A60" i="1"/>
  <c r="C66" i="1"/>
  <c r="A78" i="1"/>
  <c r="A64" i="1"/>
  <c r="C52" i="1"/>
  <c r="A92" i="1"/>
  <c r="C80" i="1"/>
  <c r="A67" i="1"/>
  <c r="C55" i="1"/>
  <c r="A76" i="1" l="1"/>
  <c r="C64" i="1"/>
  <c r="A87" i="1"/>
  <c r="C75" i="1"/>
  <c r="C78" i="1"/>
  <c r="A90" i="1"/>
  <c r="A74" i="1"/>
  <c r="C62" i="1"/>
  <c r="A72" i="1"/>
  <c r="C60" i="1"/>
  <c r="C85" i="1"/>
  <c r="A97" i="1"/>
  <c r="C71" i="1"/>
  <c r="A83" i="1"/>
  <c r="A105" i="1"/>
  <c r="C93" i="1"/>
  <c r="A79" i="1"/>
  <c r="C67" i="1"/>
  <c r="C70" i="1"/>
  <c r="A82" i="1"/>
  <c r="A104" i="1"/>
  <c r="C92" i="1"/>
  <c r="A77" i="1"/>
  <c r="C65" i="1"/>
  <c r="C82" i="1" l="1"/>
  <c r="A94" i="1"/>
  <c r="A84" i="1"/>
  <c r="C72" i="1"/>
  <c r="A91" i="1"/>
  <c r="C79" i="1"/>
  <c r="C74" i="1"/>
  <c r="A86" i="1"/>
  <c r="A102" i="1"/>
  <c r="C90" i="1"/>
  <c r="A117" i="1"/>
  <c r="C105" i="1"/>
  <c r="A95" i="1"/>
  <c r="C83" i="1"/>
  <c r="A89" i="1"/>
  <c r="C77" i="1"/>
  <c r="A99" i="1"/>
  <c r="C87" i="1"/>
  <c r="A109" i="1"/>
  <c r="C97" i="1"/>
  <c r="A116" i="1"/>
  <c r="C104" i="1"/>
  <c r="A88" i="1"/>
  <c r="C76" i="1"/>
  <c r="A121" i="1" l="1"/>
  <c r="C109" i="1"/>
  <c r="A114" i="1"/>
  <c r="C102" i="1"/>
  <c r="A98" i="1"/>
  <c r="C86" i="1"/>
  <c r="C99" i="1"/>
  <c r="A111" i="1"/>
  <c r="C89" i="1"/>
  <c r="A101" i="1"/>
  <c r="C91" i="1"/>
  <c r="A103" i="1"/>
  <c r="C88" i="1"/>
  <c r="A100" i="1"/>
  <c r="C95" i="1"/>
  <c r="A107" i="1"/>
  <c r="C84" i="1"/>
  <c r="A96" i="1"/>
  <c r="A106" i="1"/>
  <c r="C94" i="1"/>
  <c r="A128" i="1"/>
  <c r="C116" i="1"/>
  <c r="A129" i="1"/>
  <c r="C117" i="1"/>
  <c r="C101" i="1" l="1"/>
  <c r="A113" i="1"/>
  <c r="C106" i="1"/>
  <c r="A118" i="1"/>
  <c r="C96" i="1"/>
  <c r="A108" i="1"/>
  <c r="C111" i="1"/>
  <c r="A123" i="1"/>
  <c r="C107" i="1"/>
  <c r="A119" i="1"/>
  <c r="A110" i="1"/>
  <c r="C98" i="1"/>
  <c r="C100" i="1"/>
  <c r="A112" i="1"/>
  <c r="A141" i="1"/>
  <c r="C129" i="1"/>
  <c r="A126" i="1"/>
  <c r="C114" i="1"/>
  <c r="A115" i="1"/>
  <c r="C103" i="1"/>
  <c r="A140" i="1"/>
  <c r="C128" i="1"/>
  <c r="C121" i="1"/>
  <c r="A133" i="1"/>
  <c r="C119" i="1" l="1"/>
  <c r="A131" i="1"/>
  <c r="C115" i="1"/>
  <c r="A127" i="1"/>
  <c r="A135" i="1"/>
  <c r="C123" i="1"/>
  <c r="A138" i="1"/>
  <c r="C126" i="1"/>
  <c r="C108" i="1"/>
  <c r="A120" i="1"/>
  <c r="C141" i="1"/>
  <c r="A153" i="1"/>
  <c r="A145" i="1"/>
  <c r="C133" i="1"/>
  <c r="A124" i="1"/>
  <c r="C112" i="1"/>
  <c r="C118" i="1"/>
  <c r="A130" i="1"/>
  <c r="A125" i="1"/>
  <c r="C113" i="1"/>
  <c r="C140" i="1"/>
  <c r="A152" i="1"/>
  <c r="C110" i="1"/>
  <c r="A122" i="1"/>
  <c r="A132" i="1" l="1"/>
  <c r="C120" i="1"/>
  <c r="C125" i="1"/>
  <c r="A137" i="1"/>
  <c r="C130" i="1"/>
  <c r="A142" i="1"/>
  <c r="A150" i="1"/>
  <c r="C138" i="1"/>
  <c r="A136" i="1"/>
  <c r="C124" i="1"/>
  <c r="A147" i="1"/>
  <c r="C135" i="1"/>
  <c r="C122" i="1"/>
  <c r="A134" i="1"/>
  <c r="A139" i="1"/>
  <c r="C127" i="1"/>
  <c r="C145" i="1"/>
  <c r="A157" i="1"/>
  <c r="C152" i="1"/>
  <c r="A164" i="1"/>
  <c r="A165" i="1"/>
  <c r="C153" i="1"/>
  <c r="C131" i="1"/>
  <c r="A143" i="1"/>
  <c r="A176" i="1" l="1"/>
  <c r="C164" i="1"/>
  <c r="C136" i="1"/>
  <c r="A148" i="1"/>
  <c r="A169" i="1"/>
  <c r="C157" i="1"/>
  <c r="A162" i="1"/>
  <c r="C150" i="1"/>
  <c r="A154" i="1"/>
  <c r="C142" i="1"/>
  <c r="A151" i="1"/>
  <c r="C139" i="1"/>
  <c r="A155" i="1"/>
  <c r="C143" i="1"/>
  <c r="A146" i="1"/>
  <c r="C134" i="1"/>
  <c r="C137" i="1"/>
  <c r="A149" i="1"/>
  <c r="A177" i="1"/>
  <c r="C165" i="1"/>
  <c r="C147" i="1"/>
  <c r="A159" i="1"/>
  <c r="C132" i="1"/>
  <c r="A144" i="1"/>
  <c r="C177" i="1" l="1"/>
  <c r="A189" i="1"/>
  <c r="A166" i="1"/>
  <c r="C154" i="1"/>
  <c r="A161" i="1"/>
  <c r="C149" i="1"/>
  <c r="C162" i="1"/>
  <c r="A174" i="1"/>
  <c r="A158" i="1"/>
  <c r="C146" i="1"/>
  <c r="C169" i="1"/>
  <c r="A181" i="1"/>
  <c r="C144" i="1"/>
  <c r="A156" i="1"/>
  <c r="C148" i="1"/>
  <c r="A160" i="1"/>
  <c r="C155" i="1"/>
  <c r="A167" i="1"/>
  <c r="C159" i="1"/>
  <c r="A171" i="1"/>
  <c r="C151" i="1"/>
  <c r="A163" i="1"/>
  <c r="A188" i="1"/>
  <c r="C176" i="1"/>
  <c r="C171" i="1" l="1"/>
  <c r="A183" i="1"/>
  <c r="C158" i="1"/>
  <c r="A170" i="1"/>
  <c r="C167" i="1"/>
  <c r="A179" i="1"/>
  <c r="C174" i="1"/>
  <c r="A186" i="1"/>
  <c r="C160" i="1"/>
  <c r="A172" i="1"/>
  <c r="C161" i="1"/>
  <c r="A173" i="1"/>
  <c r="C156" i="1"/>
  <c r="A168" i="1"/>
  <c r="A200" i="1"/>
  <c r="C188" i="1"/>
  <c r="A178" i="1"/>
  <c r="C166" i="1"/>
  <c r="A175" i="1"/>
  <c r="C163" i="1"/>
  <c r="C181" i="1"/>
  <c r="A193" i="1"/>
  <c r="C189" i="1"/>
  <c r="A201" i="1"/>
  <c r="A184" i="1" l="1"/>
  <c r="C172" i="1"/>
  <c r="A187" i="1"/>
  <c r="C175" i="1"/>
  <c r="A198" i="1"/>
  <c r="C186" i="1"/>
  <c r="A190" i="1"/>
  <c r="C178" i="1"/>
  <c r="A191" i="1"/>
  <c r="C179" i="1"/>
  <c r="A212" i="1"/>
  <c r="C200" i="1"/>
  <c r="C201" i="1"/>
  <c r="A213" i="1"/>
  <c r="A180" i="1"/>
  <c r="C168" i="1"/>
  <c r="A182" i="1"/>
  <c r="C170" i="1"/>
  <c r="A205" i="1"/>
  <c r="C193" i="1"/>
  <c r="A185" i="1"/>
  <c r="C173" i="1"/>
  <c r="A195" i="1"/>
  <c r="C183" i="1"/>
  <c r="A217" i="1" l="1"/>
  <c r="C205" i="1"/>
  <c r="C191" i="1"/>
  <c r="A203" i="1"/>
  <c r="C182" i="1"/>
  <c r="A194" i="1"/>
  <c r="A202" i="1"/>
  <c r="C190" i="1"/>
  <c r="A192" i="1"/>
  <c r="C180" i="1"/>
  <c r="A210" i="1"/>
  <c r="C198" i="1"/>
  <c r="A225" i="1"/>
  <c r="C213" i="1"/>
  <c r="C195" i="1"/>
  <c r="A207" i="1"/>
  <c r="A199" i="1"/>
  <c r="C187" i="1"/>
  <c r="C185" i="1"/>
  <c r="A197" i="1"/>
  <c r="A224" i="1"/>
  <c r="C212" i="1"/>
  <c r="C184" i="1"/>
  <c r="A196" i="1"/>
  <c r="C197" i="1" l="1"/>
  <c r="A209" i="1"/>
  <c r="C192" i="1"/>
  <c r="A204" i="1"/>
  <c r="C199" i="1"/>
  <c r="A211" i="1"/>
  <c r="A214" i="1"/>
  <c r="C202" i="1"/>
  <c r="C207" i="1"/>
  <c r="A219" i="1"/>
  <c r="A206" i="1"/>
  <c r="C194" i="1"/>
  <c r="C196" i="1"/>
  <c r="A208" i="1"/>
  <c r="A215" i="1"/>
  <c r="C203" i="1"/>
  <c r="A237" i="1"/>
  <c r="C225" i="1"/>
  <c r="A236" i="1"/>
  <c r="C224" i="1"/>
  <c r="A222" i="1"/>
  <c r="C210" i="1"/>
  <c r="A229" i="1"/>
  <c r="C217" i="1"/>
  <c r="A231" i="1" l="1"/>
  <c r="C219" i="1"/>
  <c r="A248" i="1"/>
  <c r="C236" i="1"/>
  <c r="A249" i="1"/>
  <c r="C237" i="1"/>
  <c r="C214" i="1"/>
  <c r="A226" i="1"/>
  <c r="C211" i="1"/>
  <c r="A223" i="1"/>
  <c r="A227" i="1"/>
  <c r="C215" i="1"/>
  <c r="C208" i="1"/>
  <c r="A220" i="1"/>
  <c r="C204" i="1"/>
  <c r="A216" i="1"/>
  <c r="A241" i="1"/>
  <c r="C229" i="1"/>
  <c r="A221" i="1"/>
  <c r="C209" i="1"/>
  <c r="A234" i="1"/>
  <c r="C222" i="1"/>
  <c r="C206" i="1"/>
  <c r="A218" i="1"/>
  <c r="A235" i="1" l="1"/>
  <c r="C223" i="1"/>
  <c r="C221" i="1"/>
  <c r="A233" i="1"/>
  <c r="C226" i="1"/>
  <c r="A238" i="1"/>
  <c r="C241" i="1"/>
  <c r="A253" i="1"/>
  <c r="A228" i="1"/>
  <c r="C216" i="1"/>
  <c r="C249" i="1"/>
  <c r="A261" i="1"/>
  <c r="A230" i="1"/>
  <c r="C218" i="1"/>
  <c r="A232" i="1"/>
  <c r="C220" i="1"/>
  <c r="A260" i="1"/>
  <c r="C248" i="1"/>
  <c r="A246" i="1"/>
  <c r="C234" i="1"/>
  <c r="A239" i="1"/>
  <c r="C227" i="1"/>
  <c r="C231" i="1"/>
  <c r="A243" i="1"/>
  <c r="A258" i="1" l="1"/>
  <c r="C246" i="1"/>
  <c r="A240" i="1"/>
  <c r="C228" i="1"/>
  <c r="A265" i="1"/>
  <c r="C253" i="1"/>
  <c r="A272" i="1"/>
  <c r="C260" i="1"/>
  <c r="C238" i="1"/>
  <c r="A250" i="1"/>
  <c r="C232" i="1"/>
  <c r="A244" i="1"/>
  <c r="A255" i="1"/>
  <c r="C243" i="1"/>
  <c r="A245" i="1"/>
  <c r="C233" i="1"/>
  <c r="A242" i="1"/>
  <c r="C230" i="1"/>
  <c r="C261" i="1"/>
  <c r="A273" i="1"/>
  <c r="A251" i="1"/>
  <c r="C239" i="1"/>
  <c r="A247" i="1"/>
  <c r="C235" i="1"/>
  <c r="A285" i="1" l="1"/>
  <c r="C273" i="1"/>
  <c r="A262" i="1"/>
  <c r="C250" i="1"/>
  <c r="A254" i="1"/>
  <c r="C242" i="1"/>
  <c r="A284" i="1"/>
  <c r="C272" i="1"/>
  <c r="A257" i="1"/>
  <c r="C245" i="1"/>
  <c r="A277" i="1"/>
  <c r="C265" i="1"/>
  <c r="C247" i="1"/>
  <c r="A259" i="1"/>
  <c r="C255" i="1"/>
  <c r="A267" i="1"/>
  <c r="A252" i="1"/>
  <c r="C240" i="1"/>
  <c r="A256" i="1"/>
  <c r="C244" i="1"/>
  <c r="C251" i="1"/>
  <c r="A263" i="1"/>
  <c r="C258" i="1"/>
  <c r="A270" i="1"/>
  <c r="A268" i="1" l="1"/>
  <c r="C256" i="1"/>
  <c r="A269" i="1"/>
  <c r="C257" i="1"/>
  <c r="A264" i="1"/>
  <c r="C252" i="1"/>
  <c r="C284" i="1"/>
  <c r="A296" i="1"/>
  <c r="C267" i="1"/>
  <c r="A279" i="1"/>
  <c r="A266" i="1"/>
  <c r="C254" i="1"/>
  <c r="A282" i="1"/>
  <c r="C270" i="1"/>
  <c r="C259" i="1"/>
  <c r="A271" i="1"/>
  <c r="A274" i="1"/>
  <c r="C262" i="1"/>
  <c r="A275" i="1"/>
  <c r="C263" i="1"/>
  <c r="A289" i="1"/>
  <c r="C277" i="1"/>
  <c r="A297" i="1"/>
  <c r="C285" i="1"/>
  <c r="A291" i="1" l="1"/>
  <c r="C279" i="1"/>
  <c r="A287" i="1"/>
  <c r="C275" i="1"/>
  <c r="A308" i="1"/>
  <c r="C308" i="1" s="1"/>
  <c r="C296" i="1"/>
  <c r="C274" i="1"/>
  <c r="A286" i="1"/>
  <c r="C271" i="1"/>
  <c r="A283" i="1"/>
  <c r="A276" i="1"/>
  <c r="C264" i="1"/>
  <c r="C297" i="1"/>
  <c r="A309" i="1"/>
  <c r="C309" i="1" s="1"/>
  <c r="A294" i="1"/>
  <c r="C282" i="1"/>
  <c r="C269" i="1"/>
  <c r="A281" i="1"/>
  <c r="A301" i="1"/>
  <c r="C301" i="1" s="1"/>
  <c r="C289" i="1"/>
  <c r="C266" i="1"/>
  <c r="A278" i="1"/>
  <c r="A280" i="1"/>
  <c r="C268" i="1"/>
  <c r="A295" i="1" l="1"/>
  <c r="C283" i="1"/>
  <c r="C281" i="1"/>
  <c r="A293" i="1"/>
  <c r="A298" i="1"/>
  <c r="C286" i="1"/>
  <c r="A306" i="1"/>
  <c r="C306" i="1" s="1"/>
  <c r="C294" i="1"/>
  <c r="A292" i="1"/>
  <c r="C280" i="1"/>
  <c r="A299" i="1"/>
  <c r="C287" i="1"/>
  <c r="C278" i="1"/>
  <c r="A290" i="1"/>
  <c r="A288" i="1"/>
  <c r="C276" i="1"/>
  <c r="C291" i="1"/>
  <c r="A303" i="1"/>
  <c r="C303" i="1" s="1"/>
  <c r="C292" i="1" l="1"/>
  <c r="A304" i="1"/>
  <c r="C304" i="1" s="1"/>
  <c r="A300" i="1"/>
  <c r="C300" i="1" s="1"/>
  <c r="C288" i="1"/>
  <c r="A310" i="1"/>
  <c r="C310" i="1" s="1"/>
  <c r="C298" i="1"/>
  <c r="A302" i="1"/>
  <c r="C302" i="1" s="1"/>
  <c r="C290" i="1"/>
  <c r="A305" i="1"/>
  <c r="C305" i="1" s="1"/>
  <c r="C293" i="1"/>
  <c r="A311" i="1"/>
  <c r="C311" i="1" s="1"/>
  <c r="C299" i="1"/>
  <c r="C295" i="1"/>
  <c r="A307" i="1"/>
  <c r="C307" i="1" s="1"/>
</calcChain>
</file>

<file path=xl/sharedStrings.xml><?xml version="1.0" encoding="utf-8"?>
<sst xmlns="http://schemas.openxmlformats.org/spreadsheetml/2006/main" count="15" uniqueCount="13">
  <si>
    <t>Year</t>
  </si>
  <si>
    <t>Month</t>
  </si>
  <si>
    <t>Date</t>
  </si>
  <si>
    <t>x1</t>
  </si>
  <si>
    <t>x2</t>
  </si>
  <si>
    <t>y</t>
  </si>
  <si>
    <t>X Added</t>
  </si>
  <si>
    <t>AIC @</t>
  </si>
  <si>
    <t>Rsqr @</t>
  </si>
  <si>
    <t>Adj-Rsqr @</t>
  </si>
  <si>
    <t>Advice</t>
  </si>
  <si>
    <t>Include</t>
  </si>
  <si>
    <t>Exclude (AIC gain, Adj-Rsqr 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</si>
</sst>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20"/>
      <color theme="1"/>
      <name val="TimesNewRomanPSMT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2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4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0" xfId="0" applyFill="1" applyBorder="1"/>
    <xf numFmtId="0" fontId="0" fillId="3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62D80-76E4-DC45-9C68-093FBC249179}">
  <dimension ref="A1:L311"/>
  <sheetViews>
    <sheetView tabSelected="1" workbookViewId="0">
      <selection activeCell="H12" sqref="H12"/>
    </sheetView>
  </sheetViews>
  <sheetFormatPr baseColWidth="10" defaultRowHeight="25"/>
  <cols>
    <col min="12" max="12" width="29.296875" bestFit="1" customWidth="1"/>
  </cols>
  <sheetData>
    <row r="1" spans="1:1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</row>
    <row r="2" spans="1:12">
      <c r="A2">
        <v>1998</v>
      </c>
      <c r="B2">
        <v>1</v>
      </c>
      <c r="C2" s="4">
        <f>DATE(A2,B2,1)</f>
        <v>35796</v>
      </c>
      <c r="D2" s="5">
        <v>0.79876323874512012</v>
      </c>
      <c r="E2" s="5">
        <v>0.21709718211077622</v>
      </c>
      <c r="F2" s="6">
        <v>-65.796151305634993</v>
      </c>
      <c r="H2" s="7" t="s">
        <v>6</v>
      </c>
      <c r="I2" s="8" t="s">
        <v>7</v>
      </c>
      <c r="J2" s="8" t="s">
        <v>8</v>
      </c>
      <c r="K2" s="8" t="s">
        <v>9</v>
      </c>
      <c r="L2" s="9" t="s">
        <v>10</v>
      </c>
    </row>
    <row r="3" spans="1:12">
      <c r="A3">
        <v>1998</v>
      </c>
      <c r="B3">
        <v>2</v>
      </c>
      <c r="C3" s="4">
        <f t="shared" ref="C3:C66" si="0">DATE(A3,B3,1)</f>
        <v>35827</v>
      </c>
      <c r="D3" s="5">
        <v>2.0418219943131088E-2</v>
      </c>
      <c r="E3" s="5">
        <v>0.98332028163256702</v>
      </c>
      <c r="F3" s="6">
        <v>67.903389842177447</v>
      </c>
      <c r="H3" s="10" t="s">
        <v>3</v>
      </c>
      <c r="I3" s="16">
        <v>4049.0128881425881</v>
      </c>
      <c r="J3" s="16">
        <v>2.37115601787148E-3</v>
      </c>
      <c r="K3" s="11">
        <v>-8.678986703822833E-4</v>
      </c>
      <c r="L3" s="12" t="s">
        <v>11</v>
      </c>
    </row>
    <row r="4" spans="1:12">
      <c r="A4">
        <v>1998</v>
      </c>
      <c r="B4">
        <v>3</v>
      </c>
      <c r="C4" s="4">
        <f t="shared" si="0"/>
        <v>35855</v>
      </c>
      <c r="D4" s="5">
        <v>0.49684456560845758</v>
      </c>
      <c r="E4" s="5">
        <v>0.44455988289970549</v>
      </c>
      <c r="F4" s="6">
        <v>-13.900399653290947</v>
      </c>
      <c r="H4" s="13" t="s">
        <v>4</v>
      </c>
      <c r="I4" s="17">
        <v>4052.9445026124858</v>
      </c>
      <c r="J4" s="17">
        <v>2.6173677833589829E-3</v>
      </c>
      <c r="K4" s="14">
        <v>-3.8802389411793925E-3</v>
      </c>
      <c r="L4" s="15" t="s">
        <v>12</v>
      </c>
    </row>
    <row r="5" spans="1:12">
      <c r="A5">
        <v>1998</v>
      </c>
      <c r="B5">
        <v>4</v>
      </c>
      <c r="C5" s="4">
        <f t="shared" si="0"/>
        <v>35886</v>
      </c>
      <c r="D5" s="5">
        <v>0.31839147392341738</v>
      </c>
      <c r="E5" s="5">
        <v>0.29819291445172713</v>
      </c>
      <c r="F5" s="6">
        <v>91.895215108151135</v>
      </c>
    </row>
    <row r="6" spans="1:12">
      <c r="A6">
        <v>1998</v>
      </c>
      <c r="B6">
        <v>5</v>
      </c>
      <c r="C6" s="4">
        <f t="shared" si="0"/>
        <v>35916</v>
      </c>
      <c r="D6" s="5">
        <v>0.72840208263271911</v>
      </c>
      <c r="E6" s="5">
        <v>0.76758401680144728</v>
      </c>
      <c r="F6" s="6">
        <v>126.4807320050365</v>
      </c>
    </row>
    <row r="7" spans="1:12">
      <c r="A7">
        <v>1998</v>
      </c>
      <c r="B7">
        <v>6</v>
      </c>
      <c r="C7" s="4">
        <f t="shared" si="0"/>
        <v>35947</v>
      </c>
      <c r="D7" s="5">
        <v>0.41005861330971805</v>
      </c>
      <c r="E7" s="5">
        <v>0.21512339572380867</v>
      </c>
      <c r="F7" s="6">
        <v>-57.23588095466809</v>
      </c>
    </row>
    <row r="8" spans="1:12">
      <c r="A8">
        <v>1998</v>
      </c>
      <c r="B8">
        <v>7</v>
      </c>
      <c r="C8" s="4">
        <f t="shared" si="0"/>
        <v>35977</v>
      </c>
      <c r="D8" s="5">
        <v>0.50990116149738596</v>
      </c>
      <c r="E8" s="5">
        <v>0.65405776551995964</v>
      </c>
      <c r="F8" s="6">
        <v>-199.43680020486559</v>
      </c>
    </row>
    <row r="9" spans="1:12">
      <c r="A9">
        <v>1998</v>
      </c>
      <c r="B9">
        <v>8</v>
      </c>
      <c r="C9" s="4">
        <f t="shared" si="0"/>
        <v>36008</v>
      </c>
      <c r="D9" s="5">
        <v>0.75373129139648065</v>
      </c>
      <c r="E9" s="5">
        <v>0.89451423732618762</v>
      </c>
      <c r="F9" s="6">
        <v>-276.41950147780244</v>
      </c>
    </row>
    <row r="10" spans="1:12">
      <c r="A10">
        <v>1998</v>
      </c>
      <c r="B10">
        <v>9</v>
      </c>
      <c r="C10" s="4">
        <f t="shared" si="0"/>
        <v>36039</v>
      </c>
      <c r="D10" s="5">
        <v>0.53719202077927342</v>
      </c>
      <c r="E10" s="5">
        <v>1.076598005578433E-2</v>
      </c>
      <c r="F10" s="6">
        <v>-217.42621743477159</v>
      </c>
    </row>
    <row r="11" spans="1:12">
      <c r="A11">
        <v>1998</v>
      </c>
      <c r="B11">
        <v>10</v>
      </c>
      <c r="C11" s="4">
        <f t="shared" si="0"/>
        <v>36069</v>
      </c>
      <c r="D11" s="5">
        <v>0.95016276616491391</v>
      </c>
      <c r="E11" s="5">
        <v>0.42923273825706676</v>
      </c>
      <c r="F11" s="6">
        <v>-16.01995340934705</v>
      </c>
    </row>
    <row r="12" spans="1:12">
      <c r="A12">
        <v>1998</v>
      </c>
      <c r="B12">
        <v>11</v>
      </c>
      <c r="C12" s="4">
        <f t="shared" si="0"/>
        <v>36100</v>
      </c>
      <c r="D12" s="5">
        <v>0.84132029390645535</v>
      </c>
      <c r="E12" s="5">
        <v>0.76764043690574346</v>
      </c>
      <c r="F12" s="6">
        <v>120.20183311741583</v>
      </c>
    </row>
    <row r="13" spans="1:12">
      <c r="A13">
        <v>1998</v>
      </c>
      <c r="B13">
        <v>12</v>
      </c>
      <c r="C13" s="4">
        <f t="shared" si="0"/>
        <v>36130</v>
      </c>
      <c r="D13" s="5">
        <v>0.33656419806142113</v>
      </c>
      <c r="E13" s="5">
        <v>0.4787115883217149</v>
      </c>
      <c r="F13" s="6">
        <v>101.71473629617996</v>
      </c>
    </row>
    <row r="14" spans="1:12">
      <c r="A14">
        <f>A2+1</f>
        <v>1999</v>
      </c>
      <c r="B14">
        <f>B2</f>
        <v>1</v>
      </c>
      <c r="C14" s="4">
        <f t="shared" si="0"/>
        <v>36161</v>
      </c>
      <c r="D14" s="5">
        <v>0.88252342460748301</v>
      </c>
      <c r="E14" s="5">
        <v>0.78085304336045813</v>
      </c>
      <c r="F14" s="6">
        <v>-598.02021939940346</v>
      </c>
    </row>
    <row r="15" spans="1:12">
      <c r="A15">
        <f t="shared" ref="A15:A78" si="1">A3+1</f>
        <v>1999</v>
      </c>
      <c r="B15">
        <f t="shared" ref="B15:B78" si="2">B3</f>
        <v>2</v>
      </c>
      <c r="C15" s="4">
        <f t="shared" si="0"/>
        <v>36192</v>
      </c>
      <c r="D15" s="5">
        <v>5.0603473806444588E-2</v>
      </c>
      <c r="E15" s="5">
        <v>0.10542148801237161</v>
      </c>
      <c r="F15" s="6">
        <v>-0.99053142320472887</v>
      </c>
    </row>
    <row r="16" spans="1:12">
      <c r="A16">
        <f t="shared" si="1"/>
        <v>1999</v>
      </c>
      <c r="B16">
        <f t="shared" si="2"/>
        <v>3</v>
      </c>
      <c r="C16" s="4">
        <f t="shared" si="0"/>
        <v>36220</v>
      </c>
      <c r="D16" s="5">
        <v>0.73909149288349452</v>
      </c>
      <c r="E16" s="5">
        <v>0.3006279412535946</v>
      </c>
      <c r="F16" s="6">
        <v>-674.35638947067753</v>
      </c>
    </row>
    <row r="17" spans="1:6">
      <c r="A17">
        <f t="shared" si="1"/>
        <v>1999</v>
      </c>
      <c r="B17">
        <f t="shared" si="2"/>
        <v>4</v>
      </c>
      <c r="C17" s="4">
        <f t="shared" si="0"/>
        <v>36251</v>
      </c>
      <c r="D17" s="5">
        <v>0.54201696967467672</v>
      </c>
      <c r="E17" s="5">
        <v>5.0165449288312236E-2</v>
      </c>
      <c r="F17" s="6">
        <v>-552.46917396189008</v>
      </c>
    </row>
    <row r="18" spans="1:6">
      <c r="A18">
        <f t="shared" si="1"/>
        <v>1999</v>
      </c>
      <c r="B18">
        <f t="shared" si="2"/>
        <v>5</v>
      </c>
      <c r="C18" s="4">
        <f t="shared" si="0"/>
        <v>36281</v>
      </c>
      <c r="D18" s="5">
        <v>0.36221940811373088</v>
      </c>
      <c r="E18" s="5">
        <v>0.13276767209022389</v>
      </c>
      <c r="F18" s="6">
        <v>469.02322193457218</v>
      </c>
    </row>
    <row r="19" spans="1:6">
      <c r="A19">
        <f t="shared" si="1"/>
        <v>1999</v>
      </c>
      <c r="B19">
        <f t="shared" si="2"/>
        <v>6</v>
      </c>
      <c r="C19" s="4">
        <f t="shared" si="0"/>
        <v>36312</v>
      </c>
      <c r="D19" s="5">
        <v>0.29105134681340283</v>
      </c>
      <c r="E19" s="5">
        <v>0.98465645849783201</v>
      </c>
      <c r="F19" s="6">
        <v>-76.033965499999852</v>
      </c>
    </row>
    <row r="20" spans="1:6">
      <c r="A20">
        <f t="shared" si="1"/>
        <v>1999</v>
      </c>
      <c r="B20">
        <f t="shared" si="2"/>
        <v>7</v>
      </c>
      <c r="C20" s="4">
        <f t="shared" si="0"/>
        <v>36342</v>
      </c>
      <c r="D20" s="5">
        <v>7.8553288522214326E-2</v>
      </c>
      <c r="E20" s="5">
        <v>0.56771861035097648</v>
      </c>
      <c r="F20" s="6">
        <v>-568.5579746250321</v>
      </c>
    </row>
    <row r="21" spans="1:6">
      <c r="A21">
        <f t="shared" si="1"/>
        <v>1999</v>
      </c>
      <c r="B21">
        <f t="shared" si="2"/>
        <v>8</v>
      </c>
      <c r="C21" s="4">
        <f t="shared" si="0"/>
        <v>36373</v>
      </c>
      <c r="D21" s="5">
        <v>0.62091536360774002</v>
      </c>
      <c r="E21" s="5">
        <v>0.19328157321127359</v>
      </c>
      <c r="F21" s="6">
        <v>-35.74602230170143</v>
      </c>
    </row>
    <row r="22" spans="1:6">
      <c r="A22">
        <f t="shared" si="1"/>
        <v>1999</v>
      </c>
      <c r="B22">
        <f t="shared" si="2"/>
        <v>9</v>
      </c>
      <c r="C22" s="4">
        <f t="shared" si="0"/>
        <v>36404</v>
      </c>
      <c r="D22" s="5">
        <v>0.28768432230700092</v>
      </c>
      <c r="E22" s="5">
        <v>0.64638497146880913</v>
      </c>
      <c r="F22" s="6">
        <v>70.599423165179644</v>
      </c>
    </row>
    <row r="23" spans="1:6">
      <c r="A23">
        <f t="shared" si="1"/>
        <v>1999</v>
      </c>
      <c r="B23">
        <f t="shared" si="2"/>
        <v>10</v>
      </c>
      <c r="C23" s="4">
        <f t="shared" si="0"/>
        <v>36434</v>
      </c>
      <c r="D23" s="5">
        <v>0.47936329601676775</v>
      </c>
      <c r="E23" s="5">
        <v>0.55106554456361434</v>
      </c>
      <c r="F23" s="6">
        <v>38.3046498364901</v>
      </c>
    </row>
    <row r="24" spans="1:6">
      <c r="A24">
        <f t="shared" si="1"/>
        <v>1999</v>
      </c>
      <c r="B24">
        <f t="shared" si="2"/>
        <v>11</v>
      </c>
      <c r="C24" s="4">
        <f t="shared" si="0"/>
        <v>36465</v>
      </c>
      <c r="D24" s="5">
        <v>0.84576913160307965</v>
      </c>
      <c r="E24" s="5">
        <v>0.30154772029659116</v>
      </c>
      <c r="F24" s="6">
        <v>125.78922708029388</v>
      </c>
    </row>
    <row r="25" spans="1:6">
      <c r="A25">
        <f t="shared" si="1"/>
        <v>1999</v>
      </c>
      <c r="B25">
        <f t="shared" si="2"/>
        <v>12</v>
      </c>
      <c r="C25" s="4">
        <f t="shared" si="0"/>
        <v>36495</v>
      </c>
      <c r="D25" s="5">
        <v>0.7409317376601704</v>
      </c>
      <c r="E25" s="5">
        <v>0.49709449706369901</v>
      </c>
      <c r="F25" s="6">
        <v>206.67950786401107</v>
      </c>
    </row>
    <row r="26" spans="1:6">
      <c r="A26">
        <f t="shared" si="1"/>
        <v>2000</v>
      </c>
      <c r="B26">
        <f t="shared" si="2"/>
        <v>1</v>
      </c>
      <c r="C26" s="4">
        <f t="shared" si="0"/>
        <v>36526</v>
      </c>
      <c r="D26" s="5">
        <v>0.89010408959295462</v>
      </c>
      <c r="E26" s="5">
        <v>0.16184507006476767</v>
      </c>
      <c r="F26" s="6">
        <v>-345.84861303742582</v>
      </c>
    </row>
    <row r="27" spans="1:6">
      <c r="A27">
        <f t="shared" si="1"/>
        <v>2000</v>
      </c>
      <c r="B27">
        <f t="shared" si="2"/>
        <v>2</v>
      </c>
      <c r="C27" s="4">
        <f t="shared" si="0"/>
        <v>36557</v>
      </c>
      <c r="D27" s="5">
        <v>0.82734590055177382</v>
      </c>
      <c r="E27" s="5">
        <v>0.88279522059069215</v>
      </c>
      <c r="F27" s="6">
        <v>77.09979385274724</v>
      </c>
    </row>
    <row r="28" spans="1:6">
      <c r="A28">
        <f t="shared" si="1"/>
        <v>2000</v>
      </c>
      <c r="B28">
        <f t="shared" si="2"/>
        <v>3</v>
      </c>
      <c r="C28" s="4">
        <f t="shared" si="0"/>
        <v>36586</v>
      </c>
      <c r="D28" s="5">
        <v>0.99191521168164665</v>
      </c>
      <c r="E28" s="5">
        <v>7.9472786194341394E-2</v>
      </c>
      <c r="F28" s="6">
        <v>-635.85399001037183</v>
      </c>
    </row>
    <row r="29" spans="1:6">
      <c r="A29">
        <f t="shared" si="1"/>
        <v>2000</v>
      </c>
      <c r="B29">
        <f t="shared" si="2"/>
        <v>4</v>
      </c>
      <c r="C29" s="4">
        <f t="shared" si="0"/>
        <v>36617</v>
      </c>
      <c r="D29" s="5">
        <v>0.98794658724335105</v>
      </c>
      <c r="E29" s="5">
        <v>0.38218414922653932</v>
      </c>
      <c r="F29" s="6">
        <v>-707.98980119846374</v>
      </c>
    </row>
    <row r="30" spans="1:6">
      <c r="A30">
        <f t="shared" si="1"/>
        <v>2000</v>
      </c>
      <c r="B30">
        <f t="shared" si="2"/>
        <v>5</v>
      </c>
      <c r="C30" s="4">
        <f t="shared" si="0"/>
        <v>36647</v>
      </c>
      <c r="D30" s="5">
        <v>0.62932467825571825</v>
      </c>
      <c r="E30" s="5">
        <v>0.66498820704798633</v>
      </c>
      <c r="F30" s="6">
        <v>321.65533983231279</v>
      </c>
    </row>
    <row r="31" spans="1:6">
      <c r="A31">
        <f t="shared" si="1"/>
        <v>2000</v>
      </c>
      <c r="B31">
        <f t="shared" si="2"/>
        <v>6</v>
      </c>
      <c r="C31" s="4">
        <f t="shared" si="0"/>
        <v>36678</v>
      </c>
      <c r="D31" s="5">
        <v>0.1537162449784174</v>
      </c>
      <c r="E31" s="5">
        <v>0.91608357310964317</v>
      </c>
      <c r="F31" s="6">
        <v>-33.222884191236524</v>
      </c>
    </row>
    <row r="32" spans="1:6">
      <c r="A32">
        <f t="shared" si="1"/>
        <v>2000</v>
      </c>
      <c r="B32">
        <f t="shared" si="2"/>
        <v>7</v>
      </c>
      <c r="C32" s="4">
        <f t="shared" si="0"/>
        <v>36708</v>
      </c>
      <c r="D32" s="5">
        <v>0.9071568154571521</v>
      </c>
      <c r="E32" s="5">
        <v>0.54611417378114768</v>
      </c>
      <c r="F32" s="6">
        <v>-491.56669734554384</v>
      </c>
    </row>
    <row r="33" spans="1:6">
      <c r="A33">
        <f t="shared" si="1"/>
        <v>2000</v>
      </c>
      <c r="B33">
        <f t="shared" si="2"/>
        <v>8</v>
      </c>
      <c r="C33" s="4">
        <f t="shared" si="0"/>
        <v>36739</v>
      </c>
      <c r="D33" s="5">
        <v>0.7819115696082739</v>
      </c>
      <c r="E33" s="5">
        <v>0.43381940484391435</v>
      </c>
      <c r="F33" s="6">
        <v>159.77344091881594</v>
      </c>
    </row>
    <row r="34" spans="1:6">
      <c r="A34">
        <f t="shared" si="1"/>
        <v>2000</v>
      </c>
      <c r="B34">
        <f t="shared" si="2"/>
        <v>9</v>
      </c>
      <c r="C34" s="4">
        <f t="shared" si="0"/>
        <v>36770</v>
      </c>
      <c r="D34" s="5">
        <v>0.88858650054545563</v>
      </c>
      <c r="E34" s="5">
        <v>0.84960930206501717</v>
      </c>
      <c r="F34" s="6">
        <v>257.53491772371092</v>
      </c>
    </row>
    <row r="35" spans="1:6">
      <c r="A35">
        <f t="shared" si="1"/>
        <v>2000</v>
      </c>
      <c r="B35">
        <f t="shared" si="2"/>
        <v>10</v>
      </c>
      <c r="C35" s="4">
        <f t="shared" si="0"/>
        <v>36800</v>
      </c>
      <c r="D35" s="5">
        <v>0.95717082684359167</v>
      </c>
      <c r="E35" s="5">
        <v>0.19895321162275403</v>
      </c>
      <c r="F35" s="6">
        <v>-44.706560577613658</v>
      </c>
    </row>
    <row r="36" spans="1:6">
      <c r="A36">
        <f t="shared" si="1"/>
        <v>2000</v>
      </c>
      <c r="B36">
        <f t="shared" si="2"/>
        <v>11</v>
      </c>
      <c r="C36" s="4">
        <f t="shared" si="0"/>
        <v>36831</v>
      </c>
      <c r="D36" s="5">
        <v>0.78668510730704488</v>
      </c>
      <c r="E36" s="5">
        <v>0.86384936217936392</v>
      </c>
      <c r="F36" s="6">
        <v>-7.1927319584549059</v>
      </c>
    </row>
    <row r="37" spans="1:6">
      <c r="A37">
        <f t="shared" si="1"/>
        <v>2000</v>
      </c>
      <c r="B37">
        <f t="shared" si="2"/>
        <v>12</v>
      </c>
      <c r="C37" s="4">
        <f t="shared" si="0"/>
        <v>36861</v>
      </c>
      <c r="D37" s="5">
        <v>0.69657703825164818</v>
      </c>
      <c r="E37" s="5">
        <v>0.34719079815973097</v>
      </c>
      <c r="F37" s="6">
        <v>217.21674114041573</v>
      </c>
    </row>
    <row r="38" spans="1:6">
      <c r="A38">
        <f t="shared" si="1"/>
        <v>2001</v>
      </c>
      <c r="B38">
        <f t="shared" si="2"/>
        <v>1</v>
      </c>
      <c r="C38" s="4">
        <f t="shared" si="0"/>
        <v>36892</v>
      </c>
      <c r="D38" s="5">
        <v>7.1503637938076126E-2</v>
      </c>
      <c r="E38" s="5">
        <v>0.66581343344673027</v>
      </c>
      <c r="F38" s="6">
        <v>-189.77181708023409</v>
      </c>
    </row>
    <row r="39" spans="1:6">
      <c r="A39">
        <f t="shared" si="1"/>
        <v>2001</v>
      </c>
      <c r="B39">
        <f t="shared" si="2"/>
        <v>2</v>
      </c>
      <c r="C39" s="4">
        <f t="shared" si="0"/>
        <v>36923</v>
      </c>
      <c r="D39" s="5">
        <v>0.61372377678062506</v>
      </c>
      <c r="E39" s="5">
        <v>0.97555223565208093</v>
      </c>
      <c r="F39" s="6">
        <v>350.1591116893419</v>
      </c>
    </row>
    <row r="40" spans="1:6">
      <c r="A40">
        <f t="shared" si="1"/>
        <v>2001</v>
      </c>
      <c r="B40">
        <f t="shared" si="2"/>
        <v>3</v>
      </c>
      <c r="C40" s="4">
        <f t="shared" si="0"/>
        <v>36951</v>
      </c>
      <c r="D40" s="5">
        <v>0.71562043925551144</v>
      </c>
      <c r="E40" s="5">
        <v>0.84003182496116635</v>
      </c>
      <c r="F40" s="6">
        <v>-196.17399836049702</v>
      </c>
    </row>
    <row r="41" spans="1:6">
      <c r="A41">
        <f t="shared" si="1"/>
        <v>2001</v>
      </c>
      <c r="B41">
        <f t="shared" si="2"/>
        <v>4</v>
      </c>
      <c r="C41" s="4">
        <f t="shared" si="0"/>
        <v>36982</v>
      </c>
      <c r="D41" s="5">
        <v>0.58071974609757537</v>
      </c>
      <c r="E41" s="5">
        <v>0.40336445856590619</v>
      </c>
      <c r="F41" s="6">
        <v>-288.33553495978435</v>
      </c>
    </row>
    <row r="42" spans="1:6">
      <c r="A42">
        <f t="shared" si="1"/>
        <v>2001</v>
      </c>
      <c r="B42">
        <f t="shared" si="2"/>
        <v>5</v>
      </c>
      <c r="C42" s="4">
        <f t="shared" si="0"/>
        <v>37012</v>
      </c>
      <c r="D42" s="5">
        <v>0.60814477930155797</v>
      </c>
      <c r="E42" s="5">
        <v>0.9037478418761421</v>
      </c>
      <c r="F42" s="6">
        <v>625.78234708916716</v>
      </c>
    </row>
    <row r="43" spans="1:6">
      <c r="A43">
        <f t="shared" si="1"/>
        <v>2001</v>
      </c>
      <c r="B43">
        <f t="shared" si="2"/>
        <v>6</v>
      </c>
      <c r="C43" s="4">
        <f t="shared" si="0"/>
        <v>37043</v>
      </c>
      <c r="D43" s="5">
        <v>2.9891477260059141E-2</v>
      </c>
      <c r="E43" s="5">
        <v>0.93741350560177539</v>
      </c>
      <c r="F43" s="6">
        <v>335.66063516948753</v>
      </c>
    </row>
    <row r="44" spans="1:6">
      <c r="A44">
        <f t="shared" si="1"/>
        <v>2001</v>
      </c>
      <c r="B44">
        <f t="shared" si="2"/>
        <v>7</v>
      </c>
      <c r="C44" s="4">
        <f t="shared" si="0"/>
        <v>37073</v>
      </c>
      <c r="D44" s="5">
        <v>8.8589353637708701E-2</v>
      </c>
      <c r="E44" s="5">
        <v>5.700146501436909E-3</v>
      </c>
      <c r="F44" s="6">
        <v>-297.46450613437355</v>
      </c>
    </row>
    <row r="45" spans="1:6">
      <c r="A45">
        <f t="shared" si="1"/>
        <v>2001</v>
      </c>
      <c r="B45">
        <f t="shared" si="2"/>
        <v>8</v>
      </c>
      <c r="C45" s="4">
        <f t="shared" si="0"/>
        <v>37104</v>
      </c>
      <c r="D45" s="5">
        <v>0.6983168788358155</v>
      </c>
      <c r="E45" s="5">
        <v>0.66994869916658328</v>
      </c>
      <c r="F45" s="6">
        <v>142.75735202763943</v>
      </c>
    </row>
    <row r="46" spans="1:6">
      <c r="A46">
        <f t="shared" si="1"/>
        <v>2001</v>
      </c>
      <c r="B46">
        <f t="shared" si="2"/>
        <v>9</v>
      </c>
      <c r="C46" s="4">
        <f t="shared" si="0"/>
        <v>37135</v>
      </c>
      <c r="D46" s="5">
        <v>0.32338031493616182</v>
      </c>
      <c r="E46" s="5">
        <v>0.89037428053732282</v>
      </c>
      <c r="F46" s="6">
        <v>257.06356934026763</v>
      </c>
    </row>
    <row r="47" spans="1:6">
      <c r="A47">
        <f t="shared" si="1"/>
        <v>2001</v>
      </c>
      <c r="B47">
        <f t="shared" si="2"/>
        <v>10</v>
      </c>
      <c r="C47" s="4">
        <f t="shared" si="0"/>
        <v>37165</v>
      </c>
      <c r="D47" s="5">
        <v>0.27387140161939494</v>
      </c>
      <c r="E47" s="5">
        <v>0.81935719618682568</v>
      </c>
      <c r="F47" s="6">
        <v>69.34166953158649</v>
      </c>
    </row>
    <row r="48" spans="1:6">
      <c r="A48">
        <f t="shared" si="1"/>
        <v>2001</v>
      </c>
      <c r="B48">
        <f t="shared" si="2"/>
        <v>11</v>
      </c>
      <c r="C48" s="4">
        <f t="shared" si="0"/>
        <v>37196</v>
      </c>
      <c r="D48" s="5">
        <v>0.10125833913939097</v>
      </c>
      <c r="E48" s="5">
        <v>0.25559558264969873</v>
      </c>
      <c r="F48" s="6">
        <v>-14.48956559526605</v>
      </c>
    </row>
    <row r="49" spans="1:6">
      <c r="A49">
        <f t="shared" si="1"/>
        <v>2001</v>
      </c>
      <c r="B49">
        <f t="shared" si="2"/>
        <v>12</v>
      </c>
      <c r="C49" s="4">
        <f t="shared" si="0"/>
        <v>37226</v>
      </c>
      <c r="D49" s="5">
        <v>0.27506107680417946</v>
      </c>
      <c r="E49" s="5">
        <v>0.28702384131652947</v>
      </c>
      <c r="F49" s="6">
        <v>179.20366823413417</v>
      </c>
    </row>
    <row r="50" spans="1:6">
      <c r="A50">
        <f t="shared" si="1"/>
        <v>2002</v>
      </c>
      <c r="B50">
        <f t="shared" si="2"/>
        <v>1</v>
      </c>
      <c r="C50" s="4">
        <f t="shared" si="0"/>
        <v>37257</v>
      </c>
      <c r="D50" s="5">
        <v>0.5813541591070186</v>
      </c>
      <c r="E50" s="5">
        <v>0.99319663369569777</v>
      </c>
      <c r="F50" s="6">
        <v>-464.35747638338466</v>
      </c>
    </row>
    <row r="51" spans="1:6">
      <c r="A51">
        <f t="shared" si="1"/>
        <v>2002</v>
      </c>
      <c r="B51">
        <f t="shared" si="2"/>
        <v>2</v>
      </c>
      <c r="C51" s="4">
        <f t="shared" si="0"/>
        <v>37288</v>
      </c>
      <c r="D51" s="5">
        <v>0.70913925866837668</v>
      </c>
      <c r="E51" s="5">
        <v>0.1915804767925644</v>
      </c>
      <c r="F51" s="6">
        <v>27.509680746351734</v>
      </c>
    </row>
    <row r="52" spans="1:6">
      <c r="A52">
        <f t="shared" si="1"/>
        <v>2002</v>
      </c>
      <c r="B52">
        <f t="shared" si="2"/>
        <v>3</v>
      </c>
      <c r="C52" s="4">
        <f t="shared" si="0"/>
        <v>37316</v>
      </c>
      <c r="D52" s="5">
        <v>1.9701261798306557E-2</v>
      </c>
      <c r="E52" s="5">
        <v>0.10971876786091739</v>
      </c>
      <c r="F52" s="6">
        <v>-357.30157644595045</v>
      </c>
    </row>
    <row r="53" spans="1:6">
      <c r="A53">
        <f t="shared" si="1"/>
        <v>2002</v>
      </c>
      <c r="B53">
        <f t="shared" si="2"/>
        <v>4</v>
      </c>
      <c r="C53" s="4">
        <f t="shared" si="0"/>
        <v>37347</v>
      </c>
      <c r="D53" s="5">
        <v>0.60336903659945684</v>
      </c>
      <c r="E53" s="5">
        <v>0.52926241554661713</v>
      </c>
      <c r="F53" s="6">
        <v>-314.76160951279235</v>
      </c>
    </row>
    <row r="54" spans="1:6">
      <c r="A54">
        <f t="shared" si="1"/>
        <v>2002</v>
      </c>
      <c r="B54">
        <f t="shared" si="2"/>
        <v>5</v>
      </c>
      <c r="C54" s="4">
        <f t="shared" si="0"/>
        <v>37377</v>
      </c>
      <c r="D54" s="5">
        <v>8.1837818958127251E-2</v>
      </c>
      <c r="E54" s="5">
        <v>0.69955606427771799</v>
      </c>
      <c r="F54" s="6">
        <v>544.49177764911497</v>
      </c>
    </row>
    <row r="55" spans="1:6">
      <c r="A55">
        <f t="shared" si="1"/>
        <v>2002</v>
      </c>
      <c r="B55">
        <f t="shared" si="2"/>
        <v>6</v>
      </c>
      <c r="C55" s="4">
        <f t="shared" si="0"/>
        <v>37408</v>
      </c>
      <c r="D55" s="5">
        <v>0.73071347653173768</v>
      </c>
      <c r="E55" s="5">
        <v>0.66582234642284766</v>
      </c>
      <c r="F55" s="6">
        <v>207.56044798368328</v>
      </c>
    </row>
    <row r="56" spans="1:6">
      <c r="A56">
        <f t="shared" si="1"/>
        <v>2002</v>
      </c>
      <c r="B56">
        <f t="shared" si="2"/>
        <v>7</v>
      </c>
      <c r="C56" s="4">
        <f t="shared" si="0"/>
        <v>37438</v>
      </c>
      <c r="D56" s="5">
        <v>0.96620563466646547</v>
      </c>
      <c r="E56" s="5">
        <v>0.9383706530012822</v>
      </c>
      <c r="F56" s="6">
        <v>-354.10534651823082</v>
      </c>
    </row>
    <row r="57" spans="1:6">
      <c r="A57">
        <f t="shared" si="1"/>
        <v>2002</v>
      </c>
      <c r="B57">
        <f t="shared" si="2"/>
        <v>8</v>
      </c>
      <c r="C57" s="4">
        <f t="shared" si="0"/>
        <v>37469</v>
      </c>
      <c r="D57" s="5">
        <v>0.39282226504652684</v>
      </c>
      <c r="E57" s="5">
        <v>0.85211509375787753</v>
      </c>
      <c r="F57" s="6">
        <v>229.87457734809144</v>
      </c>
    </row>
    <row r="58" spans="1:6">
      <c r="A58">
        <f t="shared" si="1"/>
        <v>2002</v>
      </c>
      <c r="B58">
        <f t="shared" si="2"/>
        <v>9</v>
      </c>
      <c r="C58" s="4">
        <f t="shared" si="0"/>
        <v>37500</v>
      </c>
      <c r="D58" s="5">
        <v>0.50778180638337012</v>
      </c>
      <c r="E58" s="5">
        <v>0.98946440350899179</v>
      </c>
      <c r="F58" s="6">
        <v>358.27434322528546</v>
      </c>
    </row>
    <row r="59" spans="1:6">
      <c r="A59">
        <f t="shared" si="1"/>
        <v>2002</v>
      </c>
      <c r="B59">
        <f t="shared" si="2"/>
        <v>10</v>
      </c>
      <c r="C59" s="4">
        <f t="shared" si="0"/>
        <v>37530</v>
      </c>
      <c r="D59" s="5">
        <v>0.34926738690259929</v>
      </c>
      <c r="E59" s="5">
        <v>0.3236946943906277</v>
      </c>
      <c r="F59" s="6">
        <v>260.67440088728836</v>
      </c>
    </row>
    <row r="60" spans="1:6">
      <c r="A60">
        <f t="shared" si="1"/>
        <v>2002</v>
      </c>
      <c r="B60">
        <f t="shared" si="2"/>
        <v>11</v>
      </c>
      <c r="C60" s="4">
        <f t="shared" si="0"/>
        <v>37561</v>
      </c>
      <c r="D60" s="5">
        <v>0.53231509834649016</v>
      </c>
      <c r="E60" s="5">
        <v>0.11371551680347214</v>
      </c>
      <c r="F60" s="6">
        <v>105.83931848921655</v>
      </c>
    </row>
    <row r="61" spans="1:6">
      <c r="A61">
        <f t="shared" si="1"/>
        <v>2002</v>
      </c>
      <c r="B61">
        <f t="shared" si="2"/>
        <v>12</v>
      </c>
      <c r="C61" s="4">
        <f t="shared" si="0"/>
        <v>37591</v>
      </c>
      <c r="D61" s="5">
        <v>0.42386697081729829</v>
      </c>
      <c r="E61" s="5">
        <v>0.9644126100789927</v>
      </c>
      <c r="F61" s="6">
        <v>6.4248545989193957</v>
      </c>
    </row>
    <row r="62" spans="1:6">
      <c r="A62">
        <f t="shared" si="1"/>
        <v>2003</v>
      </c>
      <c r="B62">
        <f t="shared" si="2"/>
        <v>1</v>
      </c>
      <c r="C62" s="4">
        <f t="shared" si="0"/>
        <v>37622</v>
      </c>
      <c r="D62" s="5">
        <v>0.3830036989496638</v>
      </c>
      <c r="E62" s="5">
        <v>0.38271118567805684</v>
      </c>
      <c r="F62" s="6">
        <v>-579.38209256505161</v>
      </c>
    </row>
    <row r="63" spans="1:6">
      <c r="A63">
        <f t="shared" si="1"/>
        <v>2003</v>
      </c>
      <c r="B63">
        <f t="shared" si="2"/>
        <v>2</v>
      </c>
      <c r="C63" s="4">
        <f t="shared" si="0"/>
        <v>37653</v>
      </c>
      <c r="D63" s="5">
        <v>9.0371744621255745E-2</v>
      </c>
      <c r="E63" s="5">
        <v>0.35677657400866836</v>
      </c>
      <c r="F63" s="6">
        <v>-134.7903060316913</v>
      </c>
    </row>
    <row r="64" spans="1:6">
      <c r="A64">
        <f t="shared" si="1"/>
        <v>2003</v>
      </c>
      <c r="B64">
        <f t="shared" si="2"/>
        <v>3</v>
      </c>
      <c r="C64" s="4">
        <f t="shared" si="0"/>
        <v>37681</v>
      </c>
      <c r="D64" s="5">
        <v>0.7489393920122267</v>
      </c>
      <c r="E64" s="5">
        <v>0.32722890290060891</v>
      </c>
      <c r="F64" s="6">
        <v>-634.92095404576537</v>
      </c>
    </row>
    <row r="65" spans="1:6">
      <c r="A65">
        <f t="shared" si="1"/>
        <v>2003</v>
      </c>
      <c r="B65">
        <f t="shared" si="2"/>
        <v>4</v>
      </c>
      <c r="C65" s="4">
        <f t="shared" si="0"/>
        <v>37712</v>
      </c>
      <c r="D65" s="5">
        <v>4.5460209830668896E-3</v>
      </c>
      <c r="E65" s="5">
        <v>0.38324131198115996</v>
      </c>
      <c r="F65" s="6">
        <v>-619.04003437028882</v>
      </c>
    </row>
    <row r="66" spans="1:6">
      <c r="A66">
        <f t="shared" si="1"/>
        <v>2003</v>
      </c>
      <c r="B66">
        <f t="shared" si="2"/>
        <v>5</v>
      </c>
      <c r="C66" s="4">
        <f t="shared" si="0"/>
        <v>37742</v>
      </c>
      <c r="D66" s="5">
        <v>0.75567627695932615</v>
      </c>
      <c r="E66" s="5">
        <v>0.28277750258873091</v>
      </c>
      <c r="F66" s="6">
        <v>235.2760270086294</v>
      </c>
    </row>
    <row r="67" spans="1:6">
      <c r="A67">
        <f t="shared" si="1"/>
        <v>2003</v>
      </c>
      <c r="B67">
        <f t="shared" si="2"/>
        <v>6</v>
      </c>
      <c r="C67" s="4">
        <f t="shared" ref="C67:C130" si="3">DATE(A67,B67,1)</f>
        <v>37773</v>
      </c>
      <c r="D67" s="5">
        <v>0.77596064799360209</v>
      </c>
      <c r="E67" s="5">
        <v>0.11109245498592535</v>
      </c>
      <c r="F67" s="6">
        <v>-240.48068596363643</v>
      </c>
    </row>
    <row r="68" spans="1:6">
      <c r="A68">
        <f t="shared" si="1"/>
        <v>2003</v>
      </c>
      <c r="B68">
        <f t="shared" si="2"/>
        <v>7</v>
      </c>
      <c r="C68" s="4">
        <f t="shared" si="3"/>
        <v>37803</v>
      </c>
      <c r="D68" s="5">
        <v>0.16931070733534914</v>
      </c>
      <c r="E68" s="5">
        <v>0.54619534990897389</v>
      </c>
      <c r="F68" s="6">
        <v>-486.73011588018619</v>
      </c>
    </row>
    <row r="69" spans="1:6">
      <c r="A69">
        <f t="shared" si="1"/>
        <v>2003</v>
      </c>
      <c r="B69">
        <f t="shared" si="2"/>
        <v>8</v>
      </c>
      <c r="C69" s="4">
        <f t="shared" si="3"/>
        <v>37834</v>
      </c>
      <c r="D69" s="5">
        <v>0.41448342658080195</v>
      </c>
      <c r="E69" s="5">
        <v>0.71387012606664302</v>
      </c>
      <c r="F69" s="6">
        <v>189.10974663904182</v>
      </c>
    </row>
    <row r="70" spans="1:6">
      <c r="A70">
        <f t="shared" si="1"/>
        <v>2003</v>
      </c>
      <c r="B70">
        <f t="shared" si="2"/>
        <v>9</v>
      </c>
      <c r="C70" s="4">
        <f t="shared" si="3"/>
        <v>37865</v>
      </c>
      <c r="D70" s="5">
        <v>0.60701290809857555</v>
      </c>
      <c r="E70" s="5">
        <v>0.19525364123702549</v>
      </c>
      <c r="F70" s="6">
        <v>178.25550977992276</v>
      </c>
    </row>
    <row r="71" spans="1:6">
      <c r="A71">
        <f t="shared" si="1"/>
        <v>2003</v>
      </c>
      <c r="B71">
        <f t="shared" si="2"/>
        <v>10</v>
      </c>
      <c r="C71" s="4">
        <f t="shared" si="3"/>
        <v>37895</v>
      </c>
      <c r="D71" s="5">
        <v>2.4476520236651034E-2</v>
      </c>
      <c r="E71" s="5">
        <v>0.46534401618322052</v>
      </c>
      <c r="F71" s="6">
        <v>165.69749952889057</v>
      </c>
    </row>
    <row r="72" spans="1:6">
      <c r="A72">
        <f t="shared" si="1"/>
        <v>2003</v>
      </c>
      <c r="B72">
        <f t="shared" si="2"/>
        <v>11</v>
      </c>
      <c r="C72" s="4">
        <f t="shared" si="3"/>
        <v>37926</v>
      </c>
      <c r="D72" s="5">
        <v>0.23271004555247188</v>
      </c>
      <c r="E72" s="5">
        <v>0.18084930875015459</v>
      </c>
      <c r="F72" s="6">
        <v>279.47924982454521</v>
      </c>
    </row>
    <row r="73" spans="1:6">
      <c r="A73">
        <f t="shared" si="1"/>
        <v>2003</v>
      </c>
      <c r="B73">
        <f t="shared" si="2"/>
        <v>12</v>
      </c>
      <c r="C73" s="4">
        <f t="shared" si="3"/>
        <v>37956</v>
      </c>
      <c r="D73" s="5">
        <v>0.60621659391658711</v>
      </c>
      <c r="E73" s="5">
        <v>0.67583844207672183</v>
      </c>
      <c r="F73" s="6">
        <v>139.05465563089683</v>
      </c>
    </row>
    <row r="74" spans="1:6">
      <c r="A74">
        <f t="shared" si="1"/>
        <v>2004</v>
      </c>
      <c r="B74">
        <f t="shared" si="2"/>
        <v>1</v>
      </c>
      <c r="C74" s="4">
        <f t="shared" si="3"/>
        <v>37987</v>
      </c>
      <c r="D74" s="5">
        <v>0.15725551195655041</v>
      </c>
      <c r="E74" s="5">
        <v>0.57516202273130079</v>
      </c>
      <c r="F74" s="6">
        <v>-264.30957041304623</v>
      </c>
    </row>
    <row r="75" spans="1:6">
      <c r="A75">
        <f t="shared" si="1"/>
        <v>2004</v>
      </c>
      <c r="B75">
        <f t="shared" si="2"/>
        <v>2</v>
      </c>
      <c r="C75" s="4">
        <f t="shared" si="3"/>
        <v>38018</v>
      </c>
      <c r="D75" s="5">
        <v>0.89438021559616676</v>
      </c>
      <c r="E75" s="5">
        <v>0.91197650384755258</v>
      </c>
      <c r="F75" s="6">
        <v>271.18107907569276</v>
      </c>
    </row>
    <row r="76" spans="1:6">
      <c r="A76">
        <f t="shared" si="1"/>
        <v>2004</v>
      </c>
      <c r="B76">
        <f t="shared" si="2"/>
        <v>3</v>
      </c>
      <c r="C76" s="4">
        <f t="shared" si="3"/>
        <v>38047</v>
      </c>
      <c r="D76" s="5">
        <v>0.99268132533424458</v>
      </c>
      <c r="E76" s="5">
        <v>0.10580492677515008</v>
      </c>
      <c r="F76" s="6">
        <v>-384.1496365960308</v>
      </c>
    </row>
    <row r="77" spans="1:6">
      <c r="A77">
        <f t="shared" si="1"/>
        <v>2004</v>
      </c>
      <c r="B77">
        <f t="shared" si="2"/>
        <v>4</v>
      </c>
      <c r="C77" s="4">
        <f t="shared" si="3"/>
        <v>38078</v>
      </c>
      <c r="D77" s="5">
        <v>0.42458387716688262</v>
      </c>
      <c r="E77" s="5">
        <v>0.70185436128778411</v>
      </c>
      <c r="F77" s="6">
        <v>-481.89413986137708</v>
      </c>
    </row>
    <row r="78" spans="1:6">
      <c r="A78">
        <f t="shared" si="1"/>
        <v>2004</v>
      </c>
      <c r="B78">
        <f t="shared" si="2"/>
        <v>5</v>
      </c>
      <c r="C78" s="4">
        <f t="shared" si="3"/>
        <v>38108</v>
      </c>
      <c r="D78" s="5">
        <v>0.31803611089390038</v>
      </c>
      <c r="E78" s="5">
        <v>0.23149385898476105</v>
      </c>
      <c r="F78" s="6">
        <v>509.3233887225885</v>
      </c>
    </row>
    <row r="79" spans="1:6">
      <c r="A79">
        <f t="shared" ref="A79:A142" si="4">A67+1</f>
        <v>2004</v>
      </c>
      <c r="B79">
        <f t="shared" ref="B79:B142" si="5">B67</f>
        <v>6</v>
      </c>
      <c r="C79" s="4">
        <f t="shared" si="3"/>
        <v>38139</v>
      </c>
      <c r="D79" s="5">
        <v>0.70301403794188744</v>
      </c>
      <c r="E79" s="5">
        <v>0.76992458828359511</v>
      </c>
      <c r="F79" s="6">
        <v>-31.325330324159637</v>
      </c>
    </row>
    <row r="80" spans="1:6">
      <c r="A80">
        <f t="shared" si="4"/>
        <v>2004</v>
      </c>
      <c r="B80">
        <f t="shared" si="5"/>
        <v>7</v>
      </c>
      <c r="C80" s="4">
        <f t="shared" si="3"/>
        <v>38169</v>
      </c>
      <c r="D80" s="5">
        <v>0.6035880939848659</v>
      </c>
      <c r="E80" s="5">
        <v>0.21272502039437924</v>
      </c>
      <c r="F80" s="6">
        <v>-311.04956959579795</v>
      </c>
    </row>
    <row r="81" spans="1:6">
      <c r="A81">
        <f t="shared" si="4"/>
        <v>2004</v>
      </c>
      <c r="B81">
        <f t="shared" si="5"/>
        <v>8</v>
      </c>
      <c r="C81" s="4">
        <f t="shared" si="3"/>
        <v>38200</v>
      </c>
      <c r="D81" s="5">
        <v>0.53939597693603036</v>
      </c>
      <c r="E81" s="5">
        <v>0.49201125931203604</v>
      </c>
      <c r="F81" s="6">
        <v>130.6899992027133</v>
      </c>
    </row>
    <row r="82" spans="1:6">
      <c r="A82">
        <f t="shared" si="4"/>
        <v>2004</v>
      </c>
      <c r="B82">
        <f t="shared" si="5"/>
        <v>9</v>
      </c>
      <c r="C82" s="4">
        <f t="shared" si="3"/>
        <v>38231</v>
      </c>
      <c r="D82" s="5">
        <v>7.1917485016322891E-3</v>
      </c>
      <c r="E82" s="5">
        <v>0.813712212008602</v>
      </c>
      <c r="F82" s="6">
        <v>187.34241632470497</v>
      </c>
    </row>
    <row r="83" spans="1:6">
      <c r="A83">
        <f t="shared" si="4"/>
        <v>2004</v>
      </c>
      <c r="B83">
        <f t="shared" si="5"/>
        <v>10</v>
      </c>
      <c r="C83" s="4">
        <f t="shared" si="3"/>
        <v>38261</v>
      </c>
      <c r="D83" s="5">
        <v>0.99952648944778666</v>
      </c>
      <c r="E83" s="5">
        <v>0.53054444751011176</v>
      </c>
      <c r="F83" s="6">
        <v>169.60736667448936</v>
      </c>
    </row>
    <row r="84" spans="1:6">
      <c r="A84">
        <f t="shared" si="4"/>
        <v>2004</v>
      </c>
      <c r="B84">
        <f t="shared" si="5"/>
        <v>11</v>
      </c>
      <c r="C84" s="4">
        <f t="shared" si="3"/>
        <v>38292</v>
      </c>
      <c r="D84" s="5">
        <v>0.92057956119063966</v>
      </c>
      <c r="E84" s="5">
        <v>0.3298381456397218</v>
      </c>
      <c r="F84" s="6">
        <v>162.97965155696897</v>
      </c>
    </row>
    <row r="85" spans="1:6">
      <c r="A85">
        <f t="shared" si="4"/>
        <v>2004</v>
      </c>
      <c r="B85">
        <f t="shared" si="5"/>
        <v>12</v>
      </c>
      <c r="C85" s="4">
        <f t="shared" si="3"/>
        <v>38322</v>
      </c>
      <c r="D85" s="5">
        <v>0.68414653212540932</v>
      </c>
      <c r="E85" s="5">
        <v>0.88620078041323558</v>
      </c>
      <c r="F85" s="6">
        <v>249.79357442502865</v>
      </c>
    </row>
    <row r="86" spans="1:6">
      <c r="A86">
        <f t="shared" si="4"/>
        <v>2005</v>
      </c>
      <c r="B86">
        <f t="shared" si="5"/>
        <v>1</v>
      </c>
      <c r="C86" s="4">
        <f t="shared" si="3"/>
        <v>38353</v>
      </c>
      <c r="D86" s="5">
        <v>0.71862947052802961</v>
      </c>
      <c r="E86" s="5">
        <v>0.92997841065638265</v>
      </c>
      <c r="F86" s="6">
        <v>-165.20303640216389</v>
      </c>
    </row>
    <row r="87" spans="1:6">
      <c r="A87">
        <f t="shared" si="4"/>
        <v>2005</v>
      </c>
      <c r="B87">
        <f t="shared" si="5"/>
        <v>2</v>
      </c>
      <c r="C87" s="4">
        <f t="shared" si="3"/>
        <v>38384</v>
      </c>
      <c r="D87" s="5">
        <v>0.72298835129251782</v>
      </c>
      <c r="E87" s="5">
        <v>0.94218796038319619</v>
      </c>
      <c r="F87" s="6">
        <v>410.15309314058879</v>
      </c>
    </row>
    <row r="88" spans="1:6">
      <c r="A88">
        <f t="shared" si="4"/>
        <v>2005</v>
      </c>
      <c r="B88">
        <f t="shared" si="5"/>
        <v>3</v>
      </c>
      <c r="C88" s="4">
        <f t="shared" si="3"/>
        <v>38412</v>
      </c>
      <c r="D88" s="5">
        <v>0.98504181619522846</v>
      </c>
      <c r="E88" s="5">
        <v>0.22411683887594303</v>
      </c>
      <c r="F88" s="6">
        <v>-383.60294013208312</v>
      </c>
    </row>
    <row r="89" spans="1:6">
      <c r="A89">
        <f t="shared" si="4"/>
        <v>2005</v>
      </c>
      <c r="B89">
        <f t="shared" si="5"/>
        <v>4</v>
      </c>
      <c r="C89" s="4">
        <f t="shared" si="3"/>
        <v>38443</v>
      </c>
      <c r="D89" s="5">
        <v>0.80786619277932781</v>
      </c>
      <c r="E89" s="5">
        <v>0.79119911928128894</v>
      </c>
      <c r="F89" s="6">
        <v>-274.32034642833321</v>
      </c>
    </row>
    <row r="90" spans="1:6">
      <c r="A90">
        <f t="shared" si="4"/>
        <v>2005</v>
      </c>
      <c r="B90">
        <f t="shared" si="5"/>
        <v>5</v>
      </c>
      <c r="C90" s="4">
        <f t="shared" si="3"/>
        <v>38473</v>
      </c>
      <c r="D90" s="5">
        <v>0.1951390704668553</v>
      </c>
      <c r="E90" s="5">
        <v>0.59586657046058955</v>
      </c>
      <c r="F90" s="6">
        <v>760.9327118779413</v>
      </c>
    </row>
    <row r="91" spans="1:6">
      <c r="A91">
        <f t="shared" si="4"/>
        <v>2005</v>
      </c>
      <c r="B91">
        <f t="shared" si="5"/>
        <v>6</v>
      </c>
      <c r="C91" s="4">
        <f t="shared" si="3"/>
        <v>38504</v>
      </c>
      <c r="D91" s="5">
        <v>0.95192340647218066</v>
      </c>
      <c r="E91" s="5">
        <v>0.54572940497916578</v>
      </c>
      <c r="F91" s="6">
        <v>177.69376257691968</v>
      </c>
    </row>
    <row r="92" spans="1:6">
      <c r="A92">
        <f t="shared" si="4"/>
        <v>2005</v>
      </c>
      <c r="B92">
        <f t="shared" si="5"/>
        <v>7</v>
      </c>
      <c r="C92" s="4">
        <f t="shared" si="3"/>
        <v>38534</v>
      </c>
      <c r="D92" s="5">
        <v>0.87682955080329394</v>
      </c>
      <c r="E92" s="5">
        <v>0.78941934206646314</v>
      </c>
      <c r="F92" s="6">
        <v>-148.34681534391524</v>
      </c>
    </row>
    <row r="93" spans="1:6">
      <c r="A93">
        <f t="shared" si="4"/>
        <v>2005</v>
      </c>
      <c r="B93">
        <f t="shared" si="5"/>
        <v>8</v>
      </c>
      <c r="C93" s="4">
        <f t="shared" si="3"/>
        <v>38565</v>
      </c>
      <c r="D93" s="5">
        <v>6.2554076457295493E-2</v>
      </c>
      <c r="E93" s="5">
        <v>0.23494601022382988</v>
      </c>
      <c r="F93" s="6">
        <v>446.36256809054663</v>
      </c>
    </row>
    <row r="94" spans="1:6">
      <c r="A94">
        <f t="shared" si="4"/>
        <v>2005</v>
      </c>
      <c r="B94">
        <f t="shared" si="5"/>
        <v>9</v>
      </c>
      <c r="C94" s="4">
        <f t="shared" si="3"/>
        <v>38596</v>
      </c>
      <c r="D94" s="5">
        <v>0.42647481663798259</v>
      </c>
      <c r="E94" s="5">
        <v>0.86878792329923205</v>
      </c>
      <c r="F94" s="6">
        <v>428.01405182410963</v>
      </c>
    </row>
    <row r="95" spans="1:6">
      <c r="A95">
        <f t="shared" si="4"/>
        <v>2005</v>
      </c>
      <c r="B95">
        <f t="shared" si="5"/>
        <v>10</v>
      </c>
      <c r="C95" s="4">
        <f t="shared" si="3"/>
        <v>38626</v>
      </c>
      <c r="D95" s="5">
        <v>0.66191190818447176</v>
      </c>
      <c r="E95" s="5">
        <v>0.27194807280265776</v>
      </c>
      <c r="F95" s="6">
        <v>336.99902493762295</v>
      </c>
    </row>
    <row r="96" spans="1:6">
      <c r="A96">
        <f t="shared" si="4"/>
        <v>2005</v>
      </c>
      <c r="B96">
        <f t="shared" si="5"/>
        <v>11</v>
      </c>
      <c r="C96" s="4">
        <f t="shared" si="3"/>
        <v>38657</v>
      </c>
      <c r="D96" s="5">
        <v>0.70519244045611362</v>
      </c>
      <c r="E96" s="5">
        <v>0.95038561067093796</v>
      </c>
      <c r="F96" s="6">
        <v>244.92035104053258</v>
      </c>
    </row>
    <row r="97" spans="1:6">
      <c r="A97">
        <f t="shared" si="4"/>
        <v>2005</v>
      </c>
      <c r="B97">
        <f t="shared" si="5"/>
        <v>12</v>
      </c>
      <c r="C97" s="4">
        <f t="shared" si="3"/>
        <v>38687</v>
      </c>
      <c r="D97" s="5">
        <v>0.21974597594804757</v>
      </c>
      <c r="E97" s="5">
        <v>0.19366735793972767</v>
      </c>
      <c r="F97" s="6">
        <v>169.92397886419201</v>
      </c>
    </row>
    <row r="98" spans="1:6">
      <c r="A98">
        <f t="shared" si="4"/>
        <v>2006</v>
      </c>
      <c r="B98">
        <f t="shared" si="5"/>
        <v>1</v>
      </c>
      <c r="C98" s="4">
        <f t="shared" si="3"/>
        <v>38718</v>
      </c>
      <c r="D98" s="5">
        <v>0.66299426209876766</v>
      </c>
      <c r="E98" s="5">
        <v>0.70503153835299437</v>
      </c>
      <c r="F98" s="6">
        <v>-204.48243540790696</v>
      </c>
    </row>
    <row r="99" spans="1:6">
      <c r="A99">
        <f t="shared" si="4"/>
        <v>2006</v>
      </c>
      <c r="B99">
        <f t="shared" si="5"/>
        <v>2</v>
      </c>
      <c r="C99" s="4">
        <f t="shared" si="3"/>
        <v>38749</v>
      </c>
      <c r="D99" s="5">
        <v>0.26755498224545371</v>
      </c>
      <c r="E99" s="5">
        <v>0.72107399193555832</v>
      </c>
      <c r="F99" s="6">
        <v>284.93777344915361</v>
      </c>
    </row>
    <row r="100" spans="1:6">
      <c r="A100">
        <f t="shared" si="4"/>
        <v>2006</v>
      </c>
      <c r="B100">
        <f t="shared" si="5"/>
        <v>3</v>
      </c>
      <c r="C100" s="4">
        <f t="shared" si="3"/>
        <v>38777</v>
      </c>
      <c r="D100" s="5">
        <v>0.27086904868538264</v>
      </c>
      <c r="E100" s="5">
        <v>0.74753710538799967</v>
      </c>
      <c r="F100" s="6">
        <v>-289.55068444594588</v>
      </c>
    </row>
    <row r="101" spans="1:6">
      <c r="A101">
        <f t="shared" si="4"/>
        <v>2006</v>
      </c>
      <c r="B101">
        <f t="shared" si="5"/>
        <v>4</v>
      </c>
      <c r="C101" s="4">
        <f t="shared" si="3"/>
        <v>38808</v>
      </c>
      <c r="D101" s="5">
        <v>0.66561397568299141</v>
      </c>
      <c r="E101" s="5">
        <v>0.24144641435991165</v>
      </c>
      <c r="F101" s="6">
        <v>-181.37623195554431</v>
      </c>
    </row>
    <row r="102" spans="1:6">
      <c r="A102">
        <f t="shared" si="4"/>
        <v>2006</v>
      </c>
      <c r="B102">
        <f t="shared" si="5"/>
        <v>5</v>
      </c>
      <c r="C102" s="4">
        <f t="shared" si="3"/>
        <v>38838</v>
      </c>
      <c r="D102" s="5">
        <v>0.76265667598200848</v>
      </c>
      <c r="E102" s="5">
        <v>0.54057302227564996</v>
      </c>
      <c r="F102" s="6">
        <v>701.28446363258615</v>
      </c>
    </row>
    <row r="103" spans="1:6">
      <c r="A103">
        <f t="shared" si="4"/>
        <v>2006</v>
      </c>
      <c r="B103">
        <f t="shared" si="5"/>
        <v>6</v>
      </c>
      <c r="C103" s="4">
        <f t="shared" si="3"/>
        <v>38869</v>
      </c>
      <c r="D103" s="5">
        <v>0.76130254949362808</v>
      </c>
      <c r="E103" s="5">
        <v>0.2867265147038196</v>
      </c>
      <c r="F103" s="6">
        <v>309.33771894233075</v>
      </c>
    </row>
    <row r="104" spans="1:6">
      <c r="A104">
        <f t="shared" si="4"/>
        <v>2006</v>
      </c>
      <c r="B104">
        <f t="shared" si="5"/>
        <v>7</v>
      </c>
      <c r="C104" s="4">
        <f t="shared" si="3"/>
        <v>38899</v>
      </c>
      <c r="D104" s="5">
        <v>0.4639520638594482</v>
      </c>
      <c r="E104" s="5">
        <v>0.57722407460902336</v>
      </c>
      <c r="F104" s="6">
        <v>79.776683031021321</v>
      </c>
    </row>
    <row r="105" spans="1:6">
      <c r="A105">
        <f t="shared" si="4"/>
        <v>2006</v>
      </c>
      <c r="B105">
        <f t="shared" si="5"/>
        <v>8</v>
      </c>
      <c r="C105" s="4">
        <f t="shared" si="3"/>
        <v>38930</v>
      </c>
      <c r="D105" s="5">
        <v>0.62451721754477896</v>
      </c>
      <c r="E105" s="5">
        <v>0.94311451095818677</v>
      </c>
      <c r="F105" s="6">
        <v>830.74849855093203</v>
      </c>
    </row>
    <row r="106" spans="1:6">
      <c r="A106">
        <f t="shared" si="4"/>
        <v>2006</v>
      </c>
      <c r="B106">
        <f t="shared" si="5"/>
        <v>9</v>
      </c>
      <c r="C106" s="4">
        <f t="shared" si="3"/>
        <v>38961</v>
      </c>
      <c r="D106" s="5">
        <v>0.93922898390136278</v>
      </c>
      <c r="E106" s="5">
        <v>0.90549073676222092</v>
      </c>
      <c r="F106" s="6">
        <v>597.95045200581217</v>
      </c>
    </row>
    <row r="107" spans="1:6">
      <c r="A107">
        <f t="shared" si="4"/>
        <v>2006</v>
      </c>
      <c r="B107">
        <f t="shared" si="5"/>
        <v>10</v>
      </c>
      <c r="C107" s="4">
        <f t="shared" si="3"/>
        <v>38991</v>
      </c>
      <c r="D107" s="5">
        <v>0.42510823843190659</v>
      </c>
      <c r="E107" s="5">
        <v>0.66322332285212482</v>
      </c>
      <c r="F107" s="6">
        <v>527.74093371110564</v>
      </c>
    </row>
    <row r="108" spans="1:6">
      <c r="A108">
        <f t="shared" si="4"/>
        <v>2006</v>
      </c>
      <c r="B108">
        <f t="shared" si="5"/>
        <v>11</v>
      </c>
      <c r="C108" s="4">
        <f t="shared" si="3"/>
        <v>39022</v>
      </c>
      <c r="D108" s="5">
        <v>0.47469048773832123</v>
      </c>
      <c r="E108" s="5">
        <v>0.95037941016406724</v>
      </c>
      <c r="F108" s="6">
        <v>658.42083896542363</v>
      </c>
    </row>
    <row r="109" spans="1:6">
      <c r="A109">
        <f t="shared" si="4"/>
        <v>2006</v>
      </c>
      <c r="B109">
        <f t="shared" si="5"/>
        <v>12</v>
      </c>
      <c r="C109" s="4">
        <f t="shared" si="3"/>
        <v>39052</v>
      </c>
      <c r="D109" s="5">
        <v>0.53608215623967026</v>
      </c>
      <c r="E109" s="5">
        <v>0.91367534724410504</v>
      </c>
      <c r="F109" s="6">
        <v>477.25002037092531</v>
      </c>
    </row>
    <row r="110" spans="1:6">
      <c r="A110">
        <f t="shared" si="4"/>
        <v>2007</v>
      </c>
      <c r="B110">
        <f t="shared" si="5"/>
        <v>1</v>
      </c>
      <c r="C110" s="4">
        <f t="shared" si="3"/>
        <v>39083</v>
      </c>
      <c r="D110" s="5">
        <v>0.89782139359451341</v>
      </c>
      <c r="E110" s="5">
        <v>0.25485381230489501</v>
      </c>
      <c r="F110" s="6">
        <v>-169.49422497262287</v>
      </c>
    </row>
    <row r="111" spans="1:6">
      <c r="A111">
        <f t="shared" si="4"/>
        <v>2007</v>
      </c>
      <c r="B111">
        <f t="shared" si="5"/>
        <v>2</v>
      </c>
      <c r="C111" s="4">
        <f t="shared" si="3"/>
        <v>39114</v>
      </c>
      <c r="D111" s="5">
        <v>0.87696395976382813</v>
      </c>
      <c r="E111" s="5">
        <v>0.468685159663914</v>
      </c>
      <c r="F111" s="6">
        <v>393.69883135203588</v>
      </c>
    </row>
    <row r="112" spans="1:6">
      <c r="A112">
        <f t="shared" si="4"/>
        <v>2007</v>
      </c>
      <c r="B112">
        <f t="shared" si="5"/>
        <v>3</v>
      </c>
      <c r="C112" s="4">
        <f t="shared" si="3"/>
        <v>39142</v>
      </c>
      <c r="D112" s="5">
        <v>0.35560729611798714</v>
      </c>
      <c r="E112" s="5">
        <v>0.86136700484224393</v>
      </c>
      <c r="F112" s="6">
        <v>-172.51655922693487</v>
      </c>
    </row>
    <row r="113" spans="1:6">
      <c r="A113">
        <f t="shared" si="4"/>
        <v>2007</v>
      </c>
      <c r="B113">
        <f t="shared" si="5"/>
        <v>4</v>
      </c>
      <c r="C113" s="4">
        <f t="shared" si="3"/>
        <v>39173</v>
      </c>
      <c r="D113" s="5">
        <v>0.4157238837902939</v>
      </c>
      <c r="E113" s="5">
        <v>0.95251242429485217</v>
      </c>
      <c r="F113" s="6">
        <v>-332.32613910976659</v>
      </c>
    </row>
    <row r="114" spans="1:6">
      <c r="A114">
        <f t="shared" si="4"/>
        <v>2007</v>
      </c>
      <c r="B114">
        <f t="shared" si="5"/>
        <v>5</v>
      </c>
      <c r="C114" s="4">
        <f t="shared" si="3"/>
        <v>39203</v>
      </c>
      <c r="D114" s="5">
        <v>0.68307262981189343</v>
      </c>
      <c r="E114" s="5">
        <v>3.465676303956966E-2</v>
      </c>
      <c r="F114" s="6">
        <v>478.23082543652646</v>
      </c>
    </row>
    <row r="115" spans="1:6">
      <c r="A115">
        <f t="shared" si="4"/>
        <v>2007</v>
      </c>
      <c r="B115">
        <f t="shared" si="5"/>
        <v>6</v>
      </c>
      <c r="C115" s="4">
        <f t="shared" si="3"/>
        <v>39234</v>
      </c>
      <c r="D115" s="5">
        <v>0.20334923074102573</v>
      </c>
      <c r="E115" s="5">
        <v>0.56566802902459679</v>
      </c>
      <c r="F115" s="6">
        <v>191.71125799472429</v>
      </c>
    </row>
    <row r="116" spans="1:6">
      <c r="A116">
        <f t="shared" si="4"/>
        <v>2007</v>
      </c>
      <c r="B116">
        <f t="shared" si="5"/>
        <v>7</v>
      </c>
      <c r="C116" s="4">
        <f t="shared" si="3"/>
        <v>39264</v>
      </c>
      <c r="D116" s="5">
        <v>0.92978920504553453</v>
      </c>
      <c r="E116" s="5">
        <v>0.61292567422909805</v>
      </c>
      <c r="F116" s="6">
        <v>-70.5216407202916</v>
      </c>
    </row>
    <row r="117" spans="1:6">
      <c r="A117">
        <f t="shared" si="4"/>
        <v>2007</v>
      </c>
      <c r="B117">
        <f t="shared" si="5"/>
        <v>8</v>
      </c>
      <c r="C117" s="4">
        <f t="shared" si="3"/>
        <v>39295</v>
      </c>
      <c r="D117" s="5">
        <v>0.21217676185927059</v>
      </c>
      <c r="E117" s="5">
        <v>0.11756261522039102</v>
      </c>
      <c r="F117" s="6">
        <v>584.88323532970242</v>
      </c>
    </row>
    <row r="118" spans="1:6">
      <c r="A118">
        <f t="shared" si="4"/>
        <v>2007</v>
      </c>
      <c r="B118">
        <f t="shared" si="5"/>
        <v>9</v>
      </c>
      <c r="C118" s="4">
        <f t="shared" si="3"/>
        <v>39326</v>
      </c>
      <c r="D118" s="5">
        <v>0.20168270730746729</v>
      </c>
      <c r="E118" s="5">
        <v>0.69309494420200612</v>
      </c>
      <c r="F118" s="6">
        <v>605.90605308256875</v>
      </c>
    </row>
    <row r="119" spans="1:6">
      <c r="A119">
        <f t="shared" si="4"/>
        <v>2007</v>
      </c>
      <c r="B119">
        <f t="shared" si="5"/>
        <v>10</v>
      </c>
      <c r="C119" s="4">
        <f t="shared" si="3"/>
        <v>39356</v>
      </c>
      <c r="D119" s="5">
        <v>0.91271376964661666</v>
      </c>
      <c r="E119" s="5">
        <v>9.04430114991156E-2</v>
      </c>
      <c r="F119" s="6">
        <v>398.57552827915265</v>
      </c>
    </row>
    <row r="120" spans="1:6">
      <c r="A120">
        <f t="shared" si="4"/>
        <v>2007</v>
      </c>
      <c r="B120">
        <f t="shared" si="5"/>
        <v>11</v>
      </c>
      <c r="C120" s="4">
        <f t="shared" si="3"/>
        <v>39387</v>
      </c>
      <c r="D120" s="5">
        <v>0.12138044286108429</v>
      </c>
      <c r="E120" s="5">
        <v>0.49605210045401016</v>
      </c>
      <c r="F120" s="6">
        <v>453.27319793252383</v>
      </c>
    </row>
    <row r="121" spans="1:6">
      <c r="A121">
        <f t="shared" si="4"/>
        <v>2007</v>
      </c>
      <c r="B121">
        <f t="shared" si="5"/>
        <v>12</v>
      </c>
      <c r="C121" s="4">
        <f t="shared" si="3"/>
        <v>39417</v>
      </c>
      <c r="D121" s="5">
        <v>0.97592376278495208</v>
      </c>
      <c r="E121" s="5">
        <v>0.50079801856321793</v>
      </c>
      <c r="F121" s="6">
        <v>408.20212848180313</v>
      </c>
    </row>
    <row r="122" spans="1:6">
      <c r="A122">
        <f t="shared" si="4"/>
        <v>2008</v>
      </c>
      <c r="B122">
        <f t="shared" si="5"/>
        <v>1</v>
      </c>
      <c r="C122" s="4">
        <f t="shared" si="3"/>
        <v>39448</v>
      </c>
      <c r="D122" s="5">
        <v>0.2889257032458149</v>
      </c>
      <c r="E122" s="5">
        <v>0.43489801662184135</v>
      </c>
      <c r="F122" s="6">
        <v>-141.91000110747882</v>
      </c>
    </row>
    <row r="123" spans="1:6">
      <c r="A123">
        <f t="shared" si="4"/>
        <v>2008</v>
      </c>
      <c r="B123">
        <f t="shared" si="5"/>
        <v>2</v>
      </c>
      <c r="C123" s="4">
        <f t="shared" si="3"/>
        <v>39479</v>
      </c>
      <c r="D123" s="5">
        <v>0.93966695928321109</v>
      </c>
      <c r="E123" s="5">
        <v>0.14871029662893664</v>
      </c>
      <c r="F123" s="6">
        <v>566.96600518476009</v>
      </c>
    </row>
    <row r="124" spans="1:6">
      <c r="A124">
        <f t="shared" si="4"/>
        <v>2008</v>
      </c>
      <c r="B124">
        <f t="shared" si="5"/>
        <v>3</v>
      </c>
      <c r="C124" s="4">
        <f t="shared" si="3"/>
        <v>39508</v>
      </c>
      <c r="D124" s="5">
        <v>0.61678256212949079</v>
      </c>
      <c r="E124" s="5">
        <v>0.55974253742930991</v>
      </c>
      <c r="F124" s="6">
        <v>15.057067850869998</v>
      </c>
    </row>
    <row r="125" spans="1:6">
      <c r="A125">
        <f t="shared" si="4"/>
        <v>2008</v>
      </c>
      <c r="B125">
        <f t="shared" si="5"/>
        <v>4</v>
      </c>
      <c r="C125" s="4">
        <f t="shared" si="3"/>
        <v>39539</v>
      </c>
      <c r="D125" s="5">
        <v>0.79647291340204129</v>
      </c>
      <c r="E125" s="5">
        <v>0.39942450720620581</v>
      </c>
      <c r="F125" s="6">
        <v>-81.912587803933263</v>
      </c>
    </row>
    <row r="126" spans="1:6">
      <c r="A126">
        <f t="shared" si="4"/>
        <v>2008</v>
      </c>
      <c r="B126">
        <f t="shared" si="5"/>
        <v>5</v>
      </c>
      <c r="C126" s="4">
        <f t="shared" si="3"/>
        <v>39569</v>
      </c>
      <c r="D126" s="5">
        <v>0.81247769210963339</v>
      </c>
      <c r="E126" s="5">
        <v>0.45049563678096927</v>
      </c>
      <c r="F126" s="6">
        <v>723.88336452942826</v>
      </c>
    </row>
    <row r="127" spans="1:6">
      <c r="A127">
        <f t="shared" si="4"/>
        <v>2008</v>
      </c>
      <c r="B127">
        <f t="shared" si="5"/>
        <v>6</v>
      </c>
      <c r="C127" s="4">
        <f t="shared" si="3"/>
        <v>39600</v>
      </c>
      <c r="D127" s="5">
        <v>0.16967908532044895</v>
      </c>
      <c r="E127" s="5">
        <v>0.42876860844549503</v>
      </c>
      <c r="F127" s="6">
        <v>408.50092569156919</v>
      </c>
    </row>
    <row r="128" spans="1:6">
      <c r="A128">
        <f t="shared" si="4"/>
        <v>2008</v>
      </c>
      <c r="B128">
        <f t="shared" si="5"/>
        <v>7</v>
      </c>
      <c r="C128" s="4">
        <f t="shared" si="3"/>
        <v>39630</v>
      </c>
      <c r="D128" s="5">
        <v>0.19831294928890486</v>
      </c>
      <c r="E128" s="5">
        <v>0.54016420062985548</v>
      </c>
      <c r="F128" s="6">
        <v>-75.656844940253336</v>
      </c>
    </row>
    <row r="129" spans="1:6">
      <c r="A129">
        <f t="shared" si="4"/>
        <v>2008</v>
      </c>
      <c r="B129">
        <f t="shared" si="5"/>
        <v>8</v>
      </c>
      <c r="C129" s="4">
        <f t="shared" si="3"/>
        <v>39661</v>
      </c>
      <c r="D129" s="5">
        <v>0.64338380110428561</v>
      </c>
      <c r="E129" s="5">
        <v>0.18528659569804995</v>
      </c>
      <c r="F129" s="6">
        <v>433.48929626190119</v>
      </c>
    </row>
    <row r="130" spans="1:6">
      <c r="A130">
        <f t="shared" si="4"/>
        <v>2008</v>
      </c>
      <c r="B130">
        <f t="shared" si="5"/>
        <v>9</v>
      </c>
      <c r="C130" s="4">
        <f t="shared" si="3"/>
        <v>39692</v>
      </c>
      <c r="D130" s="5">
        <v>0.9373429501758932</v>
      </c>
      <c r="E130" s="5">
        <v>0.18968727998313695</v>
      </c>
      <c r="F130" s="6">
        <v>610.55567165187369</v>
      </c>
    </row>
    <row r="131" spans="1:6">
      <c r="A131">
        <f t="shared" si="4"/>
        <v>2008</v>
      </c>
      <c r="B131">
        <f t="shared" si="5"/>
        <v>10</v>
      </c>
      <c r="C131" s="4">
        <f t="shared" ref="C131:C194" si="6">DATE(A131,B131,1)</f>
        <v>39722</v>
      </c>
      <c r="D131" s="5">
        <v>3.3136044328206937E-2</v>
      </c>
      <c r="E131" s="5">
        <v>0.79771614358275156</v>
      </c>
      <c r="F131" s="6">
        <v>233.20279297361714</v>
      </c>
    </row>
    <row r="132" spans="1:6">
      <c r="A132">
        <f t="shared" si="4"/>
        <v>2008</v>
      </c>
      <c r="B132">
        <f t="shared" si="5"/>
        <v>11</v>
      </c>
      <c r="C132" s="4">
        <f t="shared" si="6"/>
        <v>39753</v>
      </c>
      <c r="D132" s="5">
        <v>0.77987376010980658</v>
      </c>
      <c r="E132" s="5">
        <v>0.77023165441377406</v>
      </c>
      <c r="F132" s="6">
        <v>49.760000181948932</v>
      </c>
    </row>
    <row r="133" spans="1:6">
      <c r="A133">
        <f t="shared" si="4"/>
        <v>2008</v>
      </c>
      <c r="B133">
        <f t="shared" si="5"/>
        <v>12</v>
      </c>
      <c r="C133" s="4">
        <f t="shared" si="6"/>
        <v>39783</v>
      </c>
      <c r="D133" s="5">
        <v>0.88450013164828012</v>
      </c>
      <c r="E133" s="5">
        <v>0.40706833524057562</v>
      </c>
      <c r="F133" s="6">
        <v>14.846206979718175</v>
      </c>
    </row>
    <row r="134" spans="1:6">
      <c r="A134">
        <f t="shared" si="4"/>
        <v>2009</v>
      </c>
      <c r="B134">
        <f t="shared" si="5"/>
        <v>1</v>
      </c>
      <c r="C134" s="4">
        <f t="shared" si="6"/>
        <v>39814</v>
      </c>
      <c r="D134" s="5">
        <v>0.60767859801208413</v>
      </c>
      <c r="E134" s="5">
        <v>0.38806354854677572</v>
      </c>
      <c r="F134" s="6">
        <v>-211.73327781489991</v>
      </c>
    </row>
    <row r="135" spans="1:6">
      <c r="A135">
        <f t="shared" si="4"/>
        <v>2009</v>
      </c>
      <c r="B135">
        <f t="shared" si="5"/>
        <v>2</v>
      </c>
      <c r="C135" s="4">
        <f t="shared" si="6"/>
        <v>39845</v>
      </c>
      <c r="D135" s="5">
        <v>0.98437694415346233</v>
      </c>
      <c r="E135" s="5">
        <v>0.77969692475212837</v>
      </c>
      <c r="F135" s="6">
        <v>541.17387355029064</v>
      </c>
    </row>
    <row r="136" spans="1:6">
      <c r="A136">
        <f t="shared" si="4"/>
        <v>2009</v>
      </c>
      <c r="B136">
        <f t="shared" si="5"/>
        <v>3</v>
      </c>
      <c r="C136" s="4">
        <f t="shared" si="6"/>
        <v>39873</v>
      </c>
      <c r="D136" s="5">
        <v>0.98588437433430753</v>
      </c>
      <c r="E136" s="5">
        <v>0.37072882251189165</v>
      </c>
      <c r="F136" s="6">
        <v>114.36127795034986</v>
      </c>
    </row>
    <row r="137" spans="1:6">
      <c r="A137">
        <f t="shared" si="4"/>
        <v>2009</v>
      </c>
      <c r="B137">
        <f t="shared" si="5"/>
        <v>4</v>
      </c>
      <c r="C137" s="4">
        <f t="shared" si="6"/>
        <v>39904</v>
      </c>
      <c r="D137" s="5">
        <v>0.97144447760689689</v>
      </c>
      <c r="E137" s="5">
        <v>0.81833652983741245</v>
      </c>
      <c r="F137" s="6">
        <v>26.856636263556425</v>
      </c>
    </row>
    <row r="138" spans="1:6">
      <c r="A138">
        <f t="shared" si="4"/>
        <v>2009</v>
      </c>
      <c r="B138">
        <f t="shared" si="5"/>
        <v>5</v>
      </c>
      <c r="C138" s="4">
        <f t="shared" si="6"/>
        <v>39934</v>
      </c>
      <c r="D138" s="5">
        <v>0.70120530576656848</v>
      </c>
      <c r="E138" s="5">
        <v>0.94546081567290352</v>
      </c>
      <c r="F138" s="6">
        <v>923.26176794585581</v>
      </c>
    </row>
    <row r="139" spans="1:6">
      <c r="A139">
        <f t="shared" si="4"/>
        <v>2009</v>
      </c>
      <c r="B139">
        <f t="shared" si="5"/>
        <v>6</v>
      </c>
      <c r="C139" s="4">
        <f t="shared" si="6"/>
        <v>39965</v>
      </c>
      <c r="D139" s="5">
        <v>0.32576489854088475</v>
      </c>
      <c r="E139" s="5">
        <v>0.71152163647092981</v>
      </c>
      <c r="F139" s="6">
        <v>609.10528500756425</v>
      </c>
    </row>
    <row r="140" spans="1:6">
      <c r="A140">
        <f t="shared" si="4"/>
        <v>2009</v>
      </c>
      <c r="B140">
        <f t="shared" si="5"/>
        <v>7</v>
      </c>
      <c r="C140" s="4">
        <f t="shared" si="6"/>
        <v>39995</v>
      </c>
      <c r="D140" s="5">
        <v>0.47105089291816438</v>
      </c>
      <c r="E140" s="5">
        <v>0.63228198417333537</v>
      </c>
      <c r="F140" s="6">
        <v>127.70896060328914</v>
      </c>
    </row>
    <row r="141" spans="1:6">
      <c r="A141">
        <f t="shared" si="4"/>
        <v>2009</v>
      </c>
      <c r="B141">
        <f t="shared" si="5"/>
        <v>8</v>
      </c>
      <c r="C141" s="4">
        <f t="shared" si="6"/>
        <v>40026</v>
      </c>
      <c r="D141" s="5">
        <v>3.8922248728586739E-3</v>
      </c>
      <c r="E141" s="5">
        <v>0.58499988011897497</v>
      </c>
      <c r="F141" s="6">
        <v>732.06676808224131</v>
      </c>
    </row>
    <row r="142" spans="1:6">
      <c r="A142">
        <f t="shared" si="4"/>
        <v>2009</v>
      </c>
      <c r="B142">
        <f t="shared" si="5"/>
        <v>9</v>
      </c>
      <c r="C142" s="4">
        <f t="shared" si="6"/>
        <v>40057</v>
      </c>
      <c r="D142" s="5">
        <v>0.55900026754399734</v>
      </c>
      <c r="E142" s="5">
        <v>0.58251481727290044</v>
      </c>
      <c r="F142" s="6">
        <v>718.40742159497574</v>
      </c>
    </row>
    <row r="143" spans="1:6">
      <c r="A143">
        <f t="shared" ref="A143:A206" si="7">A131+1</f>
        <v>2009</v>
      </c>
      <c r="B143">
        <f t="shared" ref="B143:B206" si="8">B131</f>
        <v>10</v>
      </c>
      <c r="C143" s="4">
        <f t="shared" si="6"/>
        <v>40087</v>
      </c>
      <c r="D143" s="5">
        <v>0.19753112486305813</v>
      </c>
      <c r="E143" s="5">
        <v>0.85573245118952224</v>
      </c>
      <c r="F143" s="6">
        <v>307.41738029125764</v>
      </c>
    </row>
    <row r="144" spans="1:6">
      <c r="A144">
        <f t="shared" si="7"/>
        <v>2009</v>
      </c>
      <c r="B144">
        <f t="shared" si="8"/>
        <v>11</v>
      </c>
      <c r="C144" s="4">
        <f t="shared" si="6"/>
        <v>40118</v>
      </c>
      <c r="D144" s="5">
        <v>0.19014895867118697</v>
      </c>
      <c r="E144" s="5">
        <v>0.33174088415840675</v>
      </c>
      <c r="F144" s="6">
        <v>31.236545592286383</v>
      </c>
    </row>
    <row r="145" spans="1:6">
      <c r="A145">
        <f t="shared" si="7"/>
        <v>2009</v>
      </c>
      <c r="B145">
        <f t="shared" si="8"/>
        <v>12</v>
      </c>
      <c r="C145" s="4">
        <f t="shared" si="6"/>
        <v>40148</v>
      </c>
      <c r="D145" s="5">
        <v>0.16761706623522454</v>
      </c>
      <c r="E145" s="5">
        <v>0.71803531354504468</v>
      </c>
      <c r="F145" s="6">
        <v>167.21287152635995</v>
      </c>
    </row>
    <row r="146" spans="1:6">
      <c r="A146">
        <f t="shared" si="7"/>
        <v>2010</v>
      </c>
      <c r="B146">
        <f t="shared" si="8"/>
        <v>1</v>
      </c>
      <c r="C146" s="4">
        <f t="shared" si="6"/>
        <v>40179</v>
      </c>
      <c r="D146" s="5">
        <v>0.6451827530534755</v>
      </c>
      <c r="E146" s="5">
        <v>0.85701795956600668</v>
      </c>
      <c r="F146" s="6">
        <v>-178.23716307693871</v>
      </c>
    </row>
    <row r="147" spans="1:6">
      <c r="A147">
        <f t="shared" si="7"/>
        <v>2010</v>
      </c>
      <c r="B147">
        <f t="shared" si="8"/>
        <v>2</v>
      </c>
      <c r="C147" s="4">
        <f t="shared" si="6"/>
        <v>40210</v>
      </c>
      <c r="D147" s="5">
        <v>0.76229903425230527</v>
      </c>
      <c r="E147" s="5">
        <v>0.17854599781005354</v>
      </c>
      <c r="F147" s="6">
        <v>546.75380138529295</v>
      </c>
    </row>
    <row r="148" spans="1:6">
      <c r="A148">
        <f t="shared" si="7"/>
        <v>2010</v>
      </c>
      <c r="B148">
        <f t="shared" si="8"/>
        <v>3</v>
      </c>
      <c r="C148" s="4">
        <f t="shared" si="6"/>
        <v>40238</v>
      </c>
      <c r="D148" s="5">
        <v>0.66677974178427524</v>
      </c>
      <c r="E148" s="5">
        <v>8.3746512380529992E-2</v>
      </c>
      <c r="F148" s="6">
        <v>77.542658494482453</v>
      </c>
    </row>
    <row r="149" spans="1:6">
      <c r="A149">
        <f t="shared" si="7"/>
        <v>2010</v>
      </c>
      <c r="B149">
        <f t="shared" si="8"/>
        <v>4</v>
      </c>
      <c r="C149" s="4">
        <f t="shared" si="6"/>
        <v>40269</v>
      </c>
      <c r="D149" s="5">
        <v>0.8095312161172461</v>
      </c>
      <c r="E149" s="5">
        <v>7.1377835076250951E-2</v>
      </c>
      <c r="F149" s="6">
        <v>-145.22555640556794</v>
      </c>
    </row>
    <row r="150" spans="1:6">
      <c r="A150">
        <f t="shared" si="7"/>
        <v>2010</v>
      </c>
      <c r="B150">
        <f t="shared" si="8"/>
        <v>5</v>
      </c>
      <c r="C150" s="4">
        <f t="shared" si="6"/>
        <v>40299</v>
      </c>
      <c r="D150" s="5">
        <v>0.35424137567116287</v>
      </c>
      <c r="E150" s="5">
        <v>0.91303581862795147</v>
      </c>
      <c r="F150" s="6">
        <v>637.46509572517812</v>
      </c>
    </row>
    <row r="151" spans="1:6">
      <c r="A151">
        <f t="shared" si="7"/>
        <v>2010</v>
      </c>
      <c r="B151">
        <f t="shared" si="8"/>
        <v>6</v>
      </c>
      <c r="C151" s="4">
        <f t="shared" si="6"/>
        <v>40330</v>
      </c>
      <c r="D151" s="5">
        <v>0.53725891108266666</v>
      </c>
      <c r="E151" s="5">
        <v>0.64519293058384319</v>
      </c>
      <c r="F151" s="6">
        <v>237.48774761199212</v>
      </c>
    </row>
    <row r="152" spans="1:6">
      <c r="A152">
        <f t="shared" si="7"/>
        <v>2010</v>
      </c>
      <c r="B152">
        <f t="shared" si="8"/>
        <v>7</v>
      </c>
      <c r="C152" s="4">
        <f t="shared" si="6"/>
        <v>40360</v>
      </c>
      <c r="D152" s="5">
        <v>4.4222954055793684E-3</v>
      </c>
      <c r="E152" s="5">
        <v>0.31083184555430043</v>
      </c>
      <c r="F152" s="6">
        <v>85.242090255726168</v>
      </c>
    </row>
    <row r="153" spans="1:6">
      <c r="A153">
        <f t="shared" si="7"/>
        <v>2010</v>
      </c>
      <c r="B153">
        <f t="shared" si="8"/>
        <v>8</v>
      </c>
      <c r="C153" s="4">
        <f t="shared" si="6"/>
        <v>40391</v>
      </c>
      <c r="D153" s="5">
        <v>1.1623377533988788E-2</v>
      </c>
      <c r="E153" s="5">
        <v>3.5463628973972705E-2</v>
      </c>
      <c r="F153" s="6">
        <v>579.96110484696385</v>
      </c>
    </row>
    <row r="154" spans="1:6">
      <c r="A154">
        <f t="shared" si="7"/>
        <v>2010</v>
      </c>
      <c r="B154">
        <f t="shared" si="8"/>
        <v>9</v>
      </c>
      <c r="C154" s="4">
        <f t="shared" si="6"/>
        <v>40422</v>
      </c>
      <c r="D154" s="5">
        <v>0.76436288406937714</v>
      </c>
      <c r="E154" s="5">
        <v>0.43358644935241353</v>
      </c>
      <c r="F154" s="6">
        <v>475.05487807801728</v>
      </c>
    </row>
    <row r="155" spans="1:6">
      <c r="A155">
        <f t="shared" si="7"/>
        <v>2010</v>
      </c>
      <c r="B155">
        <f t="shared" si="8"/>
        <v>10</v>
      </c>
      <c r="C155" s="4">
        <f t="shared" si="6"/>
        <v>40452</v>
      </c>
      <c r="D155" s="5">
        <v>0.33366562657029353</v>
      </c>
      <c r="E155" s="5">
        <v>0.35452188021305209</v>
      </c>
      <c r="F155" s="6">
        <v>184.89081283142139</v>
      </c>
    </row>
    <row r="156" spans="1:6">
      <c r="A156">
        <f t="shared" si="7"/>
        <v>2010</v>
      </c>
      <c r="B156">
        <f t="shared" si="8"/>
        <v>11</v>
      </c>
      <c r="C156" s="4">
        <f t="shared" si="6"/>
        <v>40483</v>
      </c>
      <c r="D156" s="5">
        <v>0.33138918199437584</v>
      </c>
      <c r="E156" s="5">
        <v>0.41474492793071183</v>
      </c>
      <c r="F156" s="6">
        <v>144.47827110232339</v>
      </c>
    </row>
    <row r="157" spans="1:6">
      <c r="A157">
        <f t="shared" si="7"/>
        <v>2010</v>
      </c>
      <c r="B157">
        <f t="shared" si="8"/>
        <v>12</v>
      </c>
      <c r="C157" s="4">
        <f t="shared" si="6"/>
        <v>40513</v>
      </c>
      <c r="D157" s="5">
        <v>0.88103154206482859</v>
      </c>
      <c r="E157" s="5">
        <v>0.69191583975156568</v>
      </c>
      <c r="F157" s="6">
        <v>463.91442173873429</v>
      </c>
    </row>
    <row r="158" spans="1:6">
      <c r="A158">
        <f t="shared" si="7"/>
        <v>2011</v>
      </c>
      <c r="B158">
        <f t="shared" si="8"/>
        <v>1</v>
      </c>
      <c r="C158" s="4">
        <f t="shared" si="6"/>
        <v>40544</v>
      </c>
      <c r="D158" s="5">
        <v>7.3818049024728771E-2</v>
      </c>
      <c r="E158" s="5">
        <v>0.16468377469174844</v>
      </c>
      <c r="F158" s="6">
        <v>38.992338042344727</v>
      </c>
    </row>
    <row r="159" spans="1:6">
      <c r="A159">
        <f t="shared" si="7"/>
        <v>2011</v>
      </c>
      <c r="B159">
        <f t="shared" si="8"/>
        <v>2</v>
      </c>
      <c r="C159" s="4">
        <f t="shared" si="6"/>
        <v>40575</v>
      </c>
      <c r="D159" s="5">
        <v>0.12353342240881215</v>
      </c>
      <c r="E159" s="5">
        <v>0.42078685503960089</v>
      </c>
      <c r="F159" s="6">
        <v>691.84435787150619</v>
      </c>
    </row>
    <row r="160" spans="1:6">
      <c r="A160">
        <f t="shared" si="7"/>
        <v>2011</v>
      </c>
      <c r="B160">
        <f t="shared" si="8"/>
        <v>3</v>
      </c>
      <c r="C160" s="4">
        <f t="shared" si="6"/>
        <v>40603</v>
      </c>
      <c r="D160" s="5">
        <v>0.92806314892815123</v>
      </c>
      <c r="E160" s="5">
        <v>0.25742485001613002</v>
      </c>
      <c r="F160" s="6">
        <v>58.799343669079235</v>
      </c>
    </row>
    <row r="161" spans="1:6">
      <c r="A161">
        <f t="shared" si="7"/>
        <v>2011</v>
      </c>
      <c r="B161">
        <f t="shared" si="8"/>
        <v>4</v>
      </c>
      <c r="C161" s="4">
        <f t="shared" si="6"/>
        <v>40634</v>
      </c>
      <c r="D161" s="5">
        <v>0.8454020877356766</v>
      </c>
      <c r="E161" s="5">
        <v>0.44985104183336622</v>
      </c>
      <c r="F161" s="6">
        <v>-128.36984072337384</v>
      </c>
    </row>
    <row r="162" spans="1:6">
      <c r="A162">
        <f t="shared" si="7"/>
        <v>2011</v>
      </c>
      <c r="B162">
        <f t="shared" si="8"/>
        <v>5</v>
      </c>
      <c r="C162" s="4">
        <f t="shared" si="6"/>
        <v>40664</v>
      </c>
      <c r="D162" s="5">
        <v>0.11161079097742843</v>
      </c>
      <c r="E162" s="5">
        <v>0.30383816459307045</v>
      </c>
      <c r="F162" s="6">
        <v>610.92876785503051</v>
      </c>
    </row>
    <row r="163" spans="1:6">
      <c r="A163">
        <f t="shared" si="7"/>
        <v>2011</v>
      </c>
      <c r="B163">
        <f t="shared" si="8"/>
        <v>6</v>
      </c>
      <c r="C163" s="4">
        <f t="shared" si="6"/>
        <v>40695</v>
      </c>
      <c r="D163" s="5">
        <v>0.33323519302466742</v>
      </c>
      <c r="E163" s="5">
        <v>0.37625236328805078</v>
      </c>
      <c r="F163" s="6">
        <v>359.60289201067314</v>
      </c>
    </row>
    <row r="164" spans="1:6">
      <c r="A164">
        <f t="shared" si="7"/>
        <v>2011</v>
      </c>
      <c r="B164">
        <f t="shared" si="8"/>
        <v>7</v>
      </c>
      <c r="C164" s="4">
        <f t="shared" si="6"/>
        <v>40725</v>
      </c>
      <c r="D164" s="5">
        <v>0.23059301561445922</v>
      </c>
      <c r="E164" s="5">
        <v>0.20239339462912909</v>
      </c>
      <c r="F164" s="6">
        <v>153.53057069875331</v>
      </c>
    </row>
    <row r="165" spans="1:6">
      <c r="A165">
        <f t="shared" si="7"/>
        <v>2011</v>
      </c>
      <c r="B165">
        <f t="shared" si="8"/>
        <v>8</v>
      </c>
      <c r="C165" s="4">
        <f t="shared" si="6"/>
        <v>40756</v>
      </c>
      <c r="D165" s="5">
        <v>0.82052462449045749</v>
      </c>
      <c r="E165" s="5">
        <v>0.51318513270193378</v>
      </c>
      <c r="F165" s="6">
        <v>681.05718731538173</v>
      </c>
    </row>
    <row r="166" spans="1:6">
      <c r="A166">
        <f t="shared" si="7"/>
        <v>2011</v>
      </c>
      <c r="B166">
        <f t="shared" si="8"/>
        <v>9</v>
      </c>
      <c r="C166" s="4">
        <f t="shared" si="6"/>
        <v>40787</v>
      </c>
      <c r="D166" s="5">
        <v>0.51407304317972191</v>
      </c>
      <c r="E166" s="5">
        <v>0.98569688588459581</v>
      </c>
      <c r="F166" s="6">
        <v>709.15544109198606</v>
      </c>
    </row>
    <row r="167" spans="1:6">
      <c r="A167">
        <f t="shared" si="7"/>
        <v>2011</v>
      </c>
      <c r="B167">
        <f t="shared" si="8"/>
        <v>10</v>
      </c>
      <c r="C167" s="4">
        <f t="shared" si="6"/>
        <v>40817</v>
      </c>
      <c r="D167" s="5">
        <v>0.72312465496234013</v>
      </c>
      <c r="E167" s="5">
        <v>0.31760350350149691</v>
      </c>
      <c r="F167" s="6">
        <v>264.02324476995159</v>
      </c>
    </row>
    <row r="168" spans="1:6">
      <c r="A168">
        <f t="shared" si="7"/>
        <v>2011</v>
      </c>
      <c r="B168">
        <f t="shared" si="8"/>
        <v>11</v>
      </c>
      <c r="C168" s="4">
        <f t="shared" si="6"/>
        <v>40848</v>
      </c>
      <c r="D168" s="5">
        <v>0.20629400311710178</v>
      </c>
      <c r="E168" s="5">
        <v>0.50533459538161307</v>
      </c>
      <c r="F168" s="6">
        <v>290.24222809130561</v>
      </c>
    </row>
    <row r="169" spans="1:6">
      <c r="A169">
        <f t="shared" si="7"/>
        <v>2011</v>
      </c>
      <c r="B169">
        <f t="shared" si="8"/>
        <v>12</v>
      </c>
      <c r="C169" s="4">
        <f t="shared" si="6"/>
        <v>40878</v>
      </c>
      <c r="D169" s="5">
        <v>0.81605983212981337</v>
      </c>
      <c r="E169" s="5">
        <v>0.21406158708068312</v>
      </c>
      <c r="F169" s="6">
        <v>491.54196271155752</v>
      </c>
    </row>
    <row r="170" spans="1:6">
      <c r="A170">
        <f t="shared" si="7"/>
        <v>2012</v>
      </c>
      <c r="B170">
        <f t="shared" si="8"/>
        <v>1</v>
      </c>
      <c r="C170" s="4">
        <f t="shared" si="6"/>
        <v>40909</v>
      </c>
      <c r="D170" s="5">
        <v>0.41813654533824929</v>
      </c>
      <c r="E170" s="5">
        <v>0.83117849457112025</v>
      </c>
      <c r="F170" s="6">
        <v>-128.3555401646808</v>
      </c>
    </row>
    <row r="171" spans="1:6">
      <c r="A171">
        <f t="shared" si="7"/>
        <v>2012</v>
      </c>
      <c r="B171">
        <f t="shared" si="8"/>
        <v>2</v>
      </c>
      <c r="C171" s="4">
        <f t="shared" si="6"/>
        <v>40940</v>
      </c>
      <c r="D171" s="5">
        <v>0.8930182227919371</v>
      </c>
      <c r="E171" s="5">
        <v>0.85760378205075749</v>
      </c>
      <c r="F171" s="6">
        <v>390.11878807982936</v>
      </c>
    </row>
    <row r="172" spans="1:6">
      <c r="A172">
        <f t="shared" si="7"/>
        <v>2012</v>
      </c>
      <c r="B172">
        <f t="shared" si="8"/>
        <v>3</v>
      </c>
      <c r="C172" s="4">
        <f t="shared" si="6"/>
        <v>40969</v>
      </c>
      <c r="D172" s="5">
        <v>0.26304298860221664</v>
      </c>
      <c r="E172" s="5">
        <v>0.2907483820381036</v>
      </c>
      <c r="F172" s="6">
        <v>-144.02317484775995</v>
      </c>
    </row>
    <row r="173" spans="1:6">
      <c r="A173">
        <f t="shared" si="7"/>
        <v>2012</v>
      </c>
      <c r="B173">
        <f t="shared" si="8"/>
        <v>4</v>
      </c>
      <c r="C173" s="4">
        <f t="shared" si="6"/>
        <v>41000</v>
      </c>
      <c r="D173" s="5">
        <v>0.37532124024820257</v>
      </c>
      <c r="E173" s="5">
        <v>0.16180763498777173</v>
      </c>
      <c r="F173" s="6">
        <v>2.7503614510077909</v>
      </c>
    </row>
    <row r="174" spans="1:6">
      <c r="A174">
        <f t="shared" si="7"/>
        <v>2012</v>
      </c>
      <c r="B174">
        <f t="shared" si="8"/>
        <v>5</v>
      </c>
      <c r="C174" s="4">
        <f t="shared" si="6"/>
        <v>41030</v>
      </c>
      <c r="D174" s="5">
        <v>0.9453054584123618</v>
      </c>
      <c r="E174" s="5">
        <v>0.10422575780665311</v>
      </c>
      <c r="F174" s="6">
        <v>769.03848199398783</v>
      </c>
    </row>
    <row r="175" spans="1:6">
      <c r="A175">
        <f t="shared" si="7"/>
        <v>2012</v>
      </c>
      <c r="B175">
        <f t="shared" si="8"/>
        <v>6</v>
      </c>
      <c r="C175" s="4">
        <f t="shared" si="6"/>
        <v>41061</v>
      </c>
      <c r="D175" s="5">
        <v>0.8420822136582965</v>
      </c>
      <c r="E175" s="5">
        <v>0.45006015993983262</v>
      </c>
      <c r="F175" s="6">
        <v>513.33581769883165</v>
      </c>
    </row>
    <row r="176" spans="1:6">
      <c r="A176">
        <f t="shared" si="7"/>
        <v>2012</v>
      </c>
      <c r="B176">
        <f t="shared" si="8"/>
        <v>7</v>
      </c>
      <c r="C176" s="4">
        <f t="shared" si="6"/>
        <v>41091</v>
      </c>
      <c r="D176" s="5">
        <v>0.8908880216057119</v>
      </c>
      <c r="E176" s="5">
        <v>0.52154480622683097</v>
      </c>
      <c r="F176" s="6">
        <v>329.63553339086775</v>
      </c>
    </row>
    <row r="177" spans="1:6">
      <c r="A177">
        <f t="shared" si="7"/>
        <v>2012</v>
      </c>
      <c r="B177">
        <f t="shared" si="8"/>
        <v>8</v>
      </c>
      <c r="C177" s="4">
        <f t="shared" si="6"/>
        <v>41122</v>
      </c>
      <c r="D177" s="5">
        <v>0.51783699271627182</v>
      </c>
      <c r="E177" s="5">
        <v>0.54041814458085002</v>
      </c>
      <c r="F177" s="6">
        <v>873.00677788036228</v>
      </c>
    </row>
    <row r="178" spans="1:6">
      <c r="A178">
        <f t="shared" si="7"/>
        <v>2012</v>
      </c>
      <c r="B178">
        <f t="shared" si="8"/>
        <v>9</v>
      </c>
      <c r="C178" s="4">
        <f t="shared" si="6"/>
        <v>41153</v>
      </c>
      <c r="D178" s="5">
        <v>0.15223777427548546</v>
      </c>
      <c r="E178" s="5">
        <v>0.1806069900944367</v>
      </c>
      <c r="F178" s="6">
        <v>1046.2330880740094</v>
      </c>
    </row>
    <row r="179" spans="1:6">
      <c r="A179">
        <f t="shared" si="7"/>
        <v>2012</v>
      </c>
      <c r="B179">
        <f t="shared" si="8"/>
        <v>10</v>
      </c>
      <c r="C179" s="4">
        <f t="shared" si="6"/>
        <v>41183</v>
      </c>
      <c r="D179" s="5">
        <v>0.18550254854249593</v>
      </c>
      <c r="E179" s="5">
        <v>6.5228250440641178E-2</v>
      </c>
      <c r="F179" s="6">
        <v>537.49424165757023</v>
      </c>
    </row>
    <row r="180" spans="1:6">
      <c r="A180">
        <f t="shared" si="7"/>
        <v>2012</v>
      </c>
      <c r="B180">
        <f t="shared" si="8"/>
        <v>11</v>
      </c>
      <c r="C180" s="4">
        <f t="shared" si="6"/>
        <v>41214</v>
      </c>
      <c r="D180" s="5">
        <v>9.6832799091247201E-2</v>
      </c>
      <c r="E180" s="5">
        <v>0.54667110238358108</v>
      </c>
      <c r="F180" s="6">
        <v>603.82491346953213</v>
      </c>
    </row>
    <row r="181" spans="1:6">
      <c r="A181">
        <f t="shared" si="7"/>
        <v>2012</v>
      </c>
      <c r="B181">
        <f t="shared" si="8"/>
        <v>12</v>
      </c>
      <c r="C181" s="4">
        <f t="shared" si="6"/>
        <v>41244</v>
      </c>
      <c r="D181" s="5">
        <v>0.69956547309241457</v>
      </c>
      <c r="E181" s="5">
        <v>0.34591080899356619</v>
      </c>
      <c r="F181" s="6">
        <v>468.09472435010684</v>
      </c>
    </row>
    <row r="182" spans="1:6">
      <c r="A182">
        <f t="shared" si="7"/>
        <v>2013</v>
      </c>
      <c r="B182">
        <f t="shared" si="8"/>
        <v>1</v>
      </c>
      <c r="C182" s="4">
        <f t="shared" si="6"/>
        <v>41275</v>
      </c>
      <c r="D182" s="5">
        <v>0.54789476041259744</v>
      </c>
      <c r="E182" s="5">
        <v>0.76673389579690909</v>
      </c>
      <c r="F182" s="6">
        <v>-138.15026334736984</v>
      </c>
    </row>
    <row r="183" spans="1:6">
      <c r="A183">
        <f t="shared" si="7"/>
        <v>2013</v>
      </c>
      <c r="B183">
        <f t="shared" si="8"/>
        <v>2</v>
      </c>
      <c r="C183" s="4">
        <f t="shared" si="6"/>
        <v>41306</v>
      </c>
      <c r="D183" s="5">
        <v>0.85114303059696339</v>
      </c>
      <c r="E183" s="5">
        <v>0.59361430554495143</v>
      </c>
      <c r="F183" s="6">
        <v>287.7498499560179</v>
      </c>
    </row>
    <row r="184" spans="1:6">
      <c r="A184">
        <f t="shared" si="7"/>
        <v>2013</v>
      </c>
      <c r="B184">
        <f t="shared" si="8"/>
        <v>3</v>
      </c>
      <c r="C184" s="4">
        <f t="shared" si="6"/>
        <v>41334</v>
      </c>
      <c r="D184" s="5">
        <v>0.26212697769991644</v>
      </c>
      <c r="E184" s="5">
        <v>0.11628762907300416</v>
      </c>
      <c r="F184" s="6">
        <v>-147.12755162056555</v>
      </c>
    </row>
    <row r="185" spans="1:6">
      <c r="A185">
        <f t="shared" si="7"/>
        <v>2013</v>
      </c>
      <c r="B185">
        <f t="shared" si="8"/>
        <v>4</v>
      </c>
      <c r="C185" s="4">
        <f t="shared" si="6"/>
        <v>41365</v>
      </c>
      <c r="D185" s="5">
        <v>0.96949478097697528</v>
      </c>
      <c r="E185" s="5">
        <v>0.48799307610435072</v>
      </c>
      <c r="F185" s="6">
        <v>171.72220284778382</v>
      </c>
    </row>
    <row r="186" spans="1:6">
      <c r="A186">
        <f t="shared" si="7"/>
        <v>2013</v>
      </c>
      <c r="B186">
        <f t="shared" si="8"/>
        <v>5</v>
      </c>
      <c r="C186" s="4">
        <f t="shared" si="6"/>
        <v>41395</v>
      </c>
      <c r="D186" s="5">
        <v>0.46345687304210437</v>
      </c>
      <c r="E186" s="5">
        <v>0.32310312078864456</v>
      </c>
      <c r="F186" s="6">
        <v>1013.2267729246814</v>
      </c>
    </row>
    <row r="187" spans="1:6">
      <c r="A187">
        <f t="shared" si="7"/>
        <v>2013</v>
      </c>
      <c r="B187">
        <f t="shared" si="8"/>
        <v>6</v>
      </c>
      <c r="C187" s="4">
        <f t="shared" si="6"/>
        <v>41426</v>
      </c>
      <c r="D187" s="5">
        <v>0.55702470260591075</v>
      </c>
      <c r="E187" s="5">
        <v>0.14638597601737124</v>
      </c>
      <c r="F187" s="6">
        <v>434.94713991685478</v>
      </c>
    </row>
    <row r="188" spans="1:6">
      <c r="A188">
        <f t="shared" si="7"/>
        <v>2013</v>
      </c>
      <c r="B188">
        <f t="shared" si="8"/>
        <v>7</v>
      </c>
      <c r="C188" s="4">
        <f t="shared" si="6"/>
        <v>41456</v>
      </c>
      <c r="D188" s="5">
        <v>2.0580606284192116E-2</v>
      </c>
      <c r="E188" s="5">
        <v>0.8846349469061574</v>
      </c>
      <c r="F188" s="6">
        <v>46.345003452398032</v>
      </c>
    </row>
    <row r="189" spans="1:6">
      <c r="A189">
        <f t="shared" si="7"/>
        <v>2013</v>
      </c>
      <c r="B189">
        <f t="shared" si="8"/>
        <v>8</v>
      </c>
      <c r="C189" s="4">
        <f t="shared" si="6"/>
        <v>41487</v>
      </c>
      <c r="D189" s="5">
        <v>0.38623211496347687</v>
      </c>
      <c r="E189" s="5">
        <v>0.12649063568864805</v>
      </c>
      <c r="F189" s="6">
        <v>464.99943520901411</v>
      </c>
    </row>
    <row r="190" spans="1:6">
      <c r="A190">
        <f t="shared" si="7"/>
        <v>2013</v>
      </c>
      <c r="B190">
        <f t="shared" si="8"/>
        <v>9</v>
      </c>
      <c r="C190" s="4">
        <f t="shared" si="6"/>
        <v>41518</v>
      </c>
      <c r="D190" s="5">
        <v>0.61491173655498699</v>
      </c>
      <c r="E190" s="5">
        <v>0.86809407506726177</v>
      </c>
      <c r="F190" s="6">
        <v>737.88607545056834</v>
      </c>
    </row>
    <row r="191" spans="1:6">
      <c r="A191">
        <f t="shared" si="7"/>
        <v>2013</v>
      </c>
      <c r="B191">
        <f t="shared" si="8"/>
        <v>10</v>
      </c>
      <c r="C191" s="4">
        <f t="shared" si="6"/>
        <v>41548</v>
      </c>
      <c r="D191" s="5">
        <v>0.92218989780320848</v>
      </c>
      <c r="E191" s="5">
        <v>0.80289780760449247</v>
      </c>
      <c r="F191" s="6">
        <v>648.0398293578005</v>
      </c>
    </row>
    <row r="192" spans="1:6">
      <c r="A192">
        <f t="shared" si="7"/>
        <v>2013</v>
      </c>
      <c r="B192">
        <f t="shared" si="8"/>
        <v>11</v>
      </c>
      <c r="C192" s="4">
        <f t="shared" si="6"/>
        <v>41579</v>
      </c>
      <c r="D192" s="5">
        <v>0.17442453214374765</v>
      </c>
      <c r="E192" s="5">
        <v>0.85866943183437561</v>
      </c>
      <c r="F192" s="6">
        <v>820.14422481146016</v>
      </c>
    </row>
    <row r="193" spans="1:6">
      <c r="A193">
        <f t="shared" si="7"/>
        <v>2013</v>
      </c>
      <c r="B193">
        <f t="shared" si="8"/>
        <v>12</v>
      </c>
      <c r="C193" s="4">
        <f t="shared" si="6"/>
        <v>41609</v>
      </c>
      <c r="D193" s="5">
        <v>0.21884234608737485</v>
      </c>
      <c r="E193" s="5">
        <v>0.84304310050645959</v>
      </c>
      <c r="F193" s="6">
        <v>473.58803317867932</v>
      </c>
    </row>
    <row r="194" spans="1:6">
      <c r="A194">
        <f t="shared" si="7"/>
        <v>2014</v>
      </c>
      <c r="B194">
        <f t="shared" si="8"/>
        <v>1</v>
      </c>
      <c r="C194" s="4">
        <f t="shared" si="6"/>
        <v>41640</v>
      </c>
      <c r="D194" s="5">
        <v>0.84934514253164817</v>
      </c>
      <c r="E194" s="5">
        <v>0.85866398191196114</v>
      </c>
      <c r="F194" s="6">
        <v>64.918688537651406</v>
      </c>
    </row>
    <row r="195" spans="1:6">
      <c r="A195">
        <f t="shared" si="7"/>
        <v>2014</v>
      </c>
      <c r="B195">
        <f t="shared" si="8"/>
        <v>2</v>
      </c>
      <c r="C195" s="4">
        <f t="shared" ref="C195:C258" si="9">DATE(A195,B195,1)</f>
        <v>41671</v>
      </c>
      <c r="D195" s="5">
        <v>0.32900386924610747</v>
      </c>
      <c r="E195" s="5">
        <v>0.92202808577605877</v>
      </c>
      <c r="F195" s="6">
        <v>483.99486221538115</v>
      </c>
    </row>
    <row r="196" spans="1:6">
      <c r="A196">
        <f t="shared" si="7"/>
        <v>2014</v>
      </c>
      <c r="B196">
        <f t="shared" si="8"/>
        <v>3</v>
      </c>
      <c r="C196" s="4">
        <f t="shared" si="9"/>
        <v>41699</v>
      </c>
      <c r="D196" s="5">
        <v>0.99831613703643196</v>
      </c>
      <c r="E196" s="5">
        <v>0.19327007152177533</v>
      </c>
      <c r="F196" s="6">
        <v>-129.0189260650622</v>
      </c>
    </row>
    <row r="197" spans="1:6">
      <c r="A197">
        <f t="shared" si="7"/>
        <v>2014</v>
      </c>
      <c r="B197">
        <f t="shared" si="8"/>
        <v>4</v>
      </c>
      <c r="C197" s="4">
        <f t="shared" si="9"/>
        <v>41730</v>
      </c>
      <c r="D197" s="5">
        <v>0.6595510185757637</v>
      </c>
      <c r="E197" s="5">
        <v>5.4925724191398406E-2</v>
      </c>
      <c r="F197" s="6">
        <v>-8.4003572286118242</v>
      </c>
    </row>
    <row r="198" spans="1:6">
      <c r="A198">
        <f t="shared" si="7"/>
        <v>2014</v>
      </c>
      <c r="B198">
        <f t="shared" si="8"/>
        <v>5</v>
      </c>
      <c r="C198" s="4">
        <f t="shared" si="9"/>
        <v>41760</v>
      </c>
      <c r="D198" s="5">
        <v>0.81232862981386489</v>
      </c>
      <c r="E198" s="5">
        <v>0.97732622545675485</v>
      </c>
      <c r="F198" s="6">
        <v>891.02632012016943</v>
      </c>
    </row>
    <row r="199" spans="1:6">
      <c r="A199">
        <f t="shared" si="7"/>
        <v>2014</v>
      </c>
      <c r="B199">
        <f t="shared" si="8"/>
        <v>6</v>
      </c>
      <c r="C199" s="4">
        <f t="shared" si="9"/>
        <v>41791</v>
      </c>
      <c r="D199" s="5">
        <v>0.83125010730487725</v>
      </c>
      <c r="E199" s="5">
        <v>0.44502470090673252</v>
      </c>
      <c r="F199" s="6">
        <v>436.23701283070136</v>
      </c>
    </row>
    <row r="200" spans="1:6">
      <c r="A200">
        <f t="shared" si="7"/>
        <v>2014</v>
      </c>
      <c r="B200">
        <f t="shared" si="8"/>
        <v>7</v>
      </c>
      <c r="C200" s="4">
        <f t="shared" si="9"/>
        <v>41821</v>
      </c>
      <c r="D200" s="5">
        <v>0.38807621323406005</v>
      </c>
      <c r="E200" s="5">
        <v>0.84117560506018618</v>
      </c>
      <c r="F200" s="6">
        <v>-173.46089436574874</v>
      </c>
    </row>
    <row r="201" spans="1:6">
      <c r="A201">
        <f t="shared" si="7"/>
        <v>2014</v>
      </c>
      <c r="B201">
        <f t="shared" si="8"/>
        <v>8</v>
      </c>
      <c r="C201" s="4">
        <f t="shared" si="9"/>
        <v>41852</v>
      </c>
      <c r="D201" s="5">
        <v>0.89493271026209265</v>
      </c>
      <c r="E201" s="5">
        <v>0.69014662176355657</v>
      </c>
      <c r="F201" s="6">
        <v>566.51206909317602</v>
      </c>
    </row>
    <row r="202" spans="1:6">
      <c r="A202">
        <f t="shared" si="7"/>
        <v>2014</v>
      </c>
      <c r="B202">
        <f t="shared" si="8"/>
        <v>9</v>
      </c>
      <c r="C202" s="4">
        <f t="shared" si="9"/>
        <v>41883</v>
      </c>
      <c r="D202" s="5">
        <v>0.26138202284416512</v>
      </c>
      <c r="E202" s="5">
        <v>0.25637683785713705</v>
      </c>
      <c r="F202" s="6">
        <v>695.76586763661987</v>
      </c>
    </row>
    <row r="203" spans="1:6">
      <c r="A203">
        <f t="shared" si="7"/>
        <v>2014</v>
      </c>
      <c r="B203">
        <f t="shared" si="8"/>
        <v>10</v>
      </c>
      <c r="C203" s="4">
        <f t="shared" si="9"/>
        <v>41913</v>
      </c>
      <c r="D203" s="5">
        <v>0.62229931371130409</v>
      </c>
      <c r="E203" s="5">
        <v>0.75680607067239802</v>
      </c>
      <c r="F203" s="6">
        <v>830.41657103786338</v>
      </c>
    </row>
    <row r="204" spans="1:6">
      <c r="A204">
        <f t="shared" si="7"/>
        <v>2014</v>
      </c>
      <c r="B204">
        <f t="shared" si="8"/>
        <v>11</v>
      </c>
      <c r="C204" s="4">
        <f t="shared" si="9"/>
        <v>41944</v>
      </c>
      <c r="D204" s="5">
        <v>0.7146025128498823</v>
      </c>
      <c r="E204" s="5">
        <v>0.11720923946691042</v>
      </c>
      <c r="F204" s="6">
        <v>956.58099321247732</v>
      </c>
    </row>
    <row r="205" spans="1:6">
      <c r="A205">
        <f t="shared" si="7"/>
        <v>2014</v>
      </c>
      <c r="B205">
        <f t="shared" si="8"/>
        <v>12</v>
      </c>
      <c r="C205" s="4">
        <f t="shared" si="9"/>
        <v>41974</v>
      </c>
      <c r="D205" s="5">
        <v>0.73583187192399635</v>
      </c>
      <c r="E205" s="5">
        <v>0.5046550794586423</v>
      </c>
      <c r="F205" s="6">
        <v>737.68004541841083</v>
      </c>
    </row>
    <row r="206" spans="1:6">
      <c r="A206">
        <f t="shared" si="7"/>
        <v>2015</v>
      </c>
      <c r="B206">
        <f t="shared" si="8"/>
        <v>1</v>
      </c>
      <c r="C206" s="4">
        <f t="shared" si="9"/>
        <v>42005</v>
      </c>
      <c r="D206" s="5">
        <v>0.51930958811821348</v>
      </c>
      <c r="E206" s="5">
        <v>0.20127228669427122</v>
      </c>
      <c r="F206" s="6">
        <v>221.16177358087452</v>
      </c>
    </row>
    <row r="207" spans="1:6">
      <c r="A207">
        <f t="shared" ref="A207:A270" si="10">A195+1</f>
        <v>2015</v>
      </c>
      <c r="B207">
        <f t="shared" ref="B207:B270" si="11">B195</f>
        <v>2</v>
      </c>
      <c r="C207" s="4">
        <f t="shared" si="9"/>
        <v>42036</v>
      </c>
      <c r="D207" s="5">
        <v>0.20982092638722838</v>
      </c>
      <c r="E207" s="5">
        <v>0.56109947807503635</v>
      </c>
      <c r="F207" s="6">
        <v>490.00066338372136</v>
      </c>
    </row>
    <row r="208" spans="1:6">
      <c r="A208">
        <f t="shared" si="10"/>
        <v>2015</v>
      </c>
      <c r="B208">
        <f t="shared" si="11"/>
        <v>3</v>
      </c>
      <c r="C208" s="4">
        <f t="shared" si="9"/>
        <v>42064</v>
      </c>
      <c r="D208" s="5">
        <v>0.5828504007171702</v>
      </c>
      <c r="E208" s="5">
        <v>0.32492299780322798</v>
      </c>
      <c r="F208" s="6">
        <v>44.298596888905195</v>
      </c>
    </row>
    <row r="209" spans="1:6">
      <c r="A209">
        <f t="shared" si="10"/>
        <v>2015</v>
      </c>
      <c r="B209">
        <f t="shared" si="11"/>
        <v>4</v>
      </c>
      <c r="C209" s="4">
        <f t="shared" si="9"/>
        <v>42095</v>
      </c>
      <c r="D209" s="5">
        <v>0.70930577356712854</v>
      </c>
      <c r="E209" s="5">
        <v>2.7855493505687501E-2</v>
      </c>
      <c r="F209" s="6">
        <v>62.139722970424828</v>
      </c>
    </row>
    <row r="210" spans="1:6">
      <c r="A210">
        <f t="shared" si="10"/>
        <v>2015</v>
      </c>
      <c r="B210">
        <f t="shared" si="11"/>
        <v>5</v>
      </c>
      <c r="C210" s="4">
        <f t="shared" si="9"/>
        <v>42125</v>
      </c>
      <c r="D210" s="5">
        <v>0.58391996246923028</v>
      </c>
      <c r="E210" s="5">
        <v>0.35341604322179065</v>
      </c>
      <c r="F210" s="6">
        <v>1024.4717717384997</v>
      </c>
    </row>
    <row r="211" spans="1:6">
      <c r="A211">
        <f t="shared" si="10"/>
        <v>2015</v>
      </c>
      <c r="B211">
        <f t="shared" si="11"/>
        <v>6</v>
      </c>
      <c r="C211" s="4">
        <f t="shared" si="9"/>
        <v>42156</v>
      </c>
      <c r="D211" s="5">
        <v>0.4799026065847728</v>
      </c>
      <c r="E211" s="5">
        <v>0.14637127016299323</v>
      </c>
      <c r="F211" s="6">
        <v>687.3563935854736</v>
      </c>
    </row>
    <row r="212" spans="1:6">
      <c r="A212">
        <f t="shared" si="10"/>
        <v>2015</v>
      </c>
      <c r="B212">
        <f t="shared" si="11"/>
        <v>7</v>
      </c>
      <c r="C212" s="4">
        <f t="shared" si="9"/>
        <v>42186</v>
      </c>
      <c r="D212" s="5">
        <v>0.39083425688641549</v>
      </c>
      <c r="E212" s="5">
        <v>0.75158992485881138</v>
      </c>
      <c r="F212" s="6">
        <v>31.524251197292756</v>
      </c>
    </row>
    <row r="213" spans="1:6">
      <c r="A213">
        <f t="shared" si="10"/>
        <v>2015</v>
      </c>
      <c r="B213">
        <f t="shared" si="11"/>
        <v>8</v>
      </c>
      <c r="C213" s="4">
        <f t="shared" si="9"/>
        <v>42217</v>
      </c>
      <c r="D213" s="5">
        <v>0.82200150660937055</v>
      </c>
      <c r="E213" s="5">
        <v>2.5546583320667282E-2</v>
      </c>
      <c r="F213" s="6">
        <v>738.20950934384325</v>
      </c>
    </row>
    <row r="214" spans="1:6">
      <c r="A214">
        <f t="shared" si="10"/>
        <v>2015</v>
      </c>
      <c r="B214">
        <f t="shared" si="11"/>
        <v>9</v>
      </c>
      <c r="C214" s="4">
        <f t="shared" si="9"/>
        <v>42248</v>
      </c>
      <c r="D214" s="5">
        <v>0.30660499794517482</v>
      </c>
      <c r="E214" s="5">
        <v>0.20266760492009583</v>
      </c>
      <c r="F214" s="6">
        <v>778.27237315542766</v>
      </c>
    </row>
    <row r="215" spans="1:6">
      <c r="A215">
        <f t="shared" si="10"/>
        <v>2015</v>
      </c>
      <c r="B215">
        <f t="shared" si="11"/>
        <v>10</v>
      </c>
      <c r="C215" s="4">
        <f t="shared" si="9"/>
        <v>42278</v>
      </c>
      <c r="D215" s="5">
        <v>3.5158006315928469E-3</v>
      </c>
      <c r="E215" s="5">
        <v>1.7774283041873673E-3</v>
      </c>
      <c r="F215" s="6">
        <v>646.96306403460972</v>
      </c>
    </row>
    <row r="216" spans="1:6">
      <c r="A216">
        <f t="shared" si="10"/>
        <v>2015</v>
      </c>
      <c r="B216">
        <f t="shared" si="11"/>
        <v>11</v>
      </c>
      <c r="C216" s="4">
        <f t="shared" si="9"/>
        <v>42309</v>
      </c>
      <c r="D216" s="5">
        <v>0.1109580625943335</v>
      </c>
      <c r="E216" s="5">
        <v>0.52783507726264101</v>
      </c>
      <c r="F216" s="6">
        <v>931.10860592857421</v>
      </c>
    </row>
    <row r="217" spans="1:6">
      <c r="A217">
        <f t="shared" si="10"/>
        <v>2015</v>
      </c>
      <c r="B217">
        <f t="shared" si="11"/>
        <v>12</v>
      </c>
      <c r="C217" s="4">
        <f t="shared" si="9"/>
        <v>42339</v>
      </c>
      <c r="D217" s="5">
        <v>0.43326452128000614</v>
      </c>
      <c r="E217" s="5">
        <v>0.25991622878044374</v>
      </c>
      <c r="F217" s="6">
        <v>850.41766699011316</v>
      </c>
    </row>
    <row r="218" spans="1:6">
      <c r="A218">
        <f t="shared" si="10"/>
        <v>2016</v>
      </c>
      <c r="B218">
        <f t="shared" si="11"/>
        <v>1</v>
      </c>
      <c r="C218" s="4">
        <f t="shared" si="9"/>
        <v>42370</v>
      </c>
      <c r="D218" s="5">
        <v>0.3330189114549198</v>
      </c>
      <c r="E218" s="5">
        <v>0.59210577428294076</v>
      </c>
      <c r="F218" s="6">
        <v>119.78944934553147</v>
      </c>
    </row>
    <row r="219" spans="1:6">
      <c r="A219">
        <f t="shared" si="10"/>
        <v>2016</v>
      </c>
      <c r="B219">
        <f t="shared" si="11"/>
        <v>2</v>
      </c>
      <c r="C219" s="4">
        <f t="shared" si="9"/>
        <v>42401</v>
      </c>
      <c r="D219" s="5">
        <v>0.87987064537909965</v>
      </c>
      <c r="E219" s="5">
        <v>0.83471219053678847</v>
      </c>
      <c r="F219" s="6">
        <v>383.70053719280099</v>
      </c>
    </row>
    <row r="220" spans="1:6">
      <c r="A220">
        <f t="shared" si="10"/>
        <v>2016</v>
      </c>
      <c r="B220">
        <f t="shared" si="11"/>
        <v>3</v>
      </c>
      <c r="C220" s="4">
        <f t="shared" si="9"/>
        <v>42430</v>
      </c>
      <c r="D220" s="5">
        <v>0.15892793162654928</v>
      </c>
      <c r="E220" s="5">
        <v>0.64318291458529797</v>
      </c>
      <c r="F220" s="6">
        <v>74.924263829961774</v>
      </c>
    </row>
    <row r="221" spans="1:6">
      <c r="A221">
        <f t="shared" si="10"/>
        <v>2016</v>
      </c>
      <c r="B221">
        <f t="shared" si="11"/>
        <v>4</v>
      </c>
      <c r="C221" s="4">
        <f t="shared" si="9"/>
        <v>42461</v>
      </c>
      <c r="D221" s="5">
        <v>0.39165126917666138</v>
      </c>
      <c r="E221" s="5">
        <v>0.6780834851964932</v>
      </c>
      <c r="F221" s="6">
        <v>224.84548565983846</v>
      </c>
    </row>
    <row r="222" spans="1:6">
      <c r="A222">
        <f t="shared" si="10"/>
        <v>2016</v>
      </c>
      <c r="B222">
        <f t="shared" si="11"/>
        <v>5</v>
      </c>
      <c r="C222" s="4">
        <f t="shared" si="9"/>
        <v>42491</v>
      </c>
      <c r="D222" s="5">
        <v>0.98338273289526734</v>
      </c>
      <c r="E222" s="5">
        <v>0.63873485880525027</v>
      </c>
      <c r="F222" s="6">
        <v>1177.235814679821</v>
      </c>
    </row>
    <row r="223" spans="1:6">
      <c r="A223">
        <f t="shared" si="10"/>
        <v>2016</v>
      </c>
      <c r="B223">
        <f t="shared" si="11"/>
        <v>6</v>
      </c>
      <c r="C223" s="4">
        <f t="shared" si="9"/>
        <v>42522</v>
      </c>
      <c r="D223" s="5">
        <v>0.76225015015417097</v>
      </c>
      <c r="E223" s="5">
        <v>7.403871430436515E-2</v>
      </c>
      <c r="F223" s="6">
        <v>816.85205141463143</v>
      </c>
    </row>
    <row r="224" spans="1:6">
      <c r="A224">
        <f t="shared" si="10"/>
        <v>2016</v>
      </c>
      <c r="B224">
        <f t="shared" si="11"/>
        <v>7</v>
      </c>
      <c r="C224" s="4">
        <f t="shared" si="9"/>
        <v>42552</v>
      </c>
      <c r="D224" s="5">
        <v>0.80101523932536001</v>
      </c>
      <c r="E224" s="5">
        <v>0.45526967958144615</v>
      </c>
      <c r="F224" s="6">
        <v>343.0862635875485</v>
      </c>
    </row>
    <row r="225" spans="1:6">
      <c r="A225">
        <f t="shared" si="10"/>
        <v>2016</v>
      </c>
      <c r="B225">
        <f t="shared" si="11"/>
        <v>8</v>
      </c>
      <c r="C225" s="4">
        <f t="shared" si="9"/>
        <v>42583</v>
      </c>
      <c r="D225" s="5">
        <v>0.99876630143254774</v>
      </c>
      <c r="E225" s="5">
        <v>0.72708135132140173</v>
      </c>
      <c r="F225" s="6">
        <v>659.97602322968373</v>
      </c>
    </row>
    <row r="226" spans="1:6">
      <c r="A226">
        <f t="shared" si="10"/>
        <v>2016</v>
      </c>
      <c r="B226">
        <f t="shared" si="11"/>
        <v>9</v>
      </c>
      <c r="C226" s="4">
        <f t="shared" si="9"/>
        <v>42614</v>
      </c>
      <c r="D226" s="5">
        <v>0.6315752723630863</v>
      </c>
      <c r="E226" s="5">
        <v>0.13901286637033439</v>
      </c>
      <c r="F226" s="6">
        <v>866.80262091528061</v>
      </c>
    </row>
    <row r="227" spans="1:6">
      <c r="A227">
        <f t="shared" si="10"/>
        <v>2016</v>
      </c>
      <c r="B227">
        <f t="shared" si="11"/>
        <v>10</v>
      </c>
      <c r="C227" s="4">
        <f t="shared" si="9"/>
        <v>42644</v>
      </c>
      <c r="D227" s="5">
        <v>4.7422933149258828E-2</v>
      </c>
      <c r="E227" s="5">
        <v>4.7415494115285561E-2</v>
      </c>
      <c r="F227" s="6">
        <v>418.49604162883509</v>
      </c>
    </row>
    <row r="228" spans="1:6">
      <c r="A228">
        <f t="shared" si="10"/>
        <v>2016</v>
      </c>
      <c r="B228">
        <f t="shared" si="11"/>
        <v>11</v>
      </c>
      <c r="C228" s="4">
        <f t="shared" si="9"/>
        <v>42675</v>
      </c>
      <c r="D228" s="5">
        <v>0.97479910520820501</v>
      </c>
      <c r="E228" s="5">
        <v>0.61615279562558334</v>
      </c>
      <c r="F228" s="6">
        <v>591.76136354298251</v>
      </c>
    </row>
    <row r="229" spans="1:6">
      <c r="A229">
        <f t="shared" si="10"/>
        <v>2016</v>
      </c>
      <c r="B229">
        <f t="shared" si="11"/>
        <v>12</v>
      </c>
      <c r="C229" s="4">
        <f t="shared" si="9"/>
        <v>42705</v>
      </c>
      <c r="D229" s="5">
        <v>0.52097339636467299</v>
      </c>
      <c r="E229" s="5">
        <v>0.77133926606618142</v>
      </c>
      <c r="F229" s="6">
        <v>729.8933986315717</v>
      </c>
    </row>
    <row r="230" spans="1:6">
      <c r="A230">
        <f t="shared" si="10"/>
        <v>2017</v>
      </c>
      <c r="B230">
        <f t="shared" si="11"/>
        <v>1</v>
      </c>
      <c r="C230" s="4">
        <f t="shared" si="9"/>
        <v>42736</v>
      </c>
      <c r="D230" s="5">
        <v>0.32837708373302021</v>
      </c>
      <c r="E230" s="5">
        <v>0.98792742859263594</v>
      </c>
      <c r="F230" s="6">
        <v>-107.06811261531755</v>
      </c>
    </row>
    <row r="231" spans="1:6">
      <c r="A231">
        <f t="shared" si="10"/>
        <v>2017</v>
      </c>
      <c r="B231">
        <f t="shared" si="11"/>
        <v>2</v>
      </c>
      <c r="C231" s="4">
        <f t="shared" si="9"/>
        <v>42767</v>
      </c>
      <c r="D231" s="5">
        <v>7.8019506321800325E-2</v>
      </c>
      <c r="E231" s="5">
        <v>0.99129104742586016</v>
      </c>
      <c r="F231" s="6">
        <v>255.76116577722505</v>
      </c>
    </row>
    <row r="232" spans="1:6">
      <c r="A232">
        <f t="shared" si="10"/>
        <v>2017</v>
      </c>
      <c r="B232">
        <f t="shared" si="11"/>
        <v>3</v>
      </c>
      <c r="C232" s="4">
        <f t="shared" si="9"/>
        <v>42795</v>
      </c>
      <c r="D232" s="5">
        <v>0.62872199022876629</v>
      </c>
      <c r="E232" s="5">
        <v>0.53758737812641932</v>
      </c>
      <c r="F232" s="6">
        <v>-96.413612848045489</v>
      </c>
    </row>
    <row r="233" spans="1:6">
      <c r="A233">
        <f t="shared" si="10"/>
        <v>2017</v>
      </c>
      <c r="B233">
        <f t="shared" si="11"/>
        <v>4</v>
      </c>
      <c r="C233" s="4">
        <f t="shared" si="9"/>
        <v>42826</v>
      </c>
      <c r="D233" s="5">
        <v>0.86643470693608249</v>
      </c>
      <c r="E233" s="5">
        <v>0.54484960409435379</v>
      </c>
      <c r="F233" s="6">
        <v>88.208746517455097</v>
      </c>
    </row>
    <row r="234" spans="1:6">
      <c r="A234">
        <f t="shared" si="10"/>
        <v>2017</v>
      </c>
      <c r="B234">
        <f t="shared" si="11"/>
        <v>5</v>
      </c>
      <c r="C234" s="4">
        <f t="shared" si="9"/>
        <v>42856</v>
      </c>
      <c r="D234" s="5">
        <v>0.10290946714596705</v>
      </c>
      <c r="E234" s="5">
        <v>0.88503362326052359</v>
      </c>
      <c r="F234" s="6">
        <v>1103.1728718247623</v>
      </c>
    </row>
    <row r="235" spans="1:6">
      <c r="A235">
        <f t="shared" si="10"/>
        <v>2017</v>
      </c>
      <c r="B235">
        <f t="shared" si="11"/>
        <v>6</v>
      </c>
      <c r="C235" s="4">
        <f t="shared" si="9"/>
        <v>42887</v>
      </c>
      <c r="D235" s="5">
        <v>0.41727167702026324</v>
      </c>
      <c r="E235" s="5">
        <v>0.87027115903049013</v>
      </c>
      <c r="F235" s="6">
        <v>677.70266042451226</v>
      </c>
    </row>
    <row r="236" spans="1:6">
      <c r="A236">
        <f t="shared" si="10"/>
        <v>2017</v>
      </c>
      <c r="B236">
        <f t="shared" si="11"/>
        <v>7</v>
      </c>
      <c r="C236" s="4">
        <f t="shared" si="9"/>
        <v>42917</v>
      </c>
      <c r="D236" s="5">
        <v>0.38741318508004174</v>
      </c>
      <c r="E236" s="5">
        <v>9.7564284353019781E-2</v>
      </c>
      <c r="F236" s="6">
        <v>311.62788160772357</v>
      </c>
    </row>
    <row r="237" spans="1:6">
      <c r="A237">
        <f t="shared" si="10"/>
        <v>2017</v>
      </c>
      <c r="B237">
        <f t="shared" si="11"/>
        <v>8</v>
      </c>
      <c r="C237" s="4">
        <f t="shared" si="9"/>
        <v>42948</v>
      </c>
      <c r="D237" s="5">
        <v>6.1028842383213489E-2</v>
      </c>
      <c r="E237" s="5">
        <v>0.76029815751165952</v>
      </c>
      <c r="F237" s="6">
        <v>803.06544697473123</v>
      </c>
    </row>
    <row r="238" spans="1:6">
      <c r="A238">
        <f t="shared" si="10"/>
        <v>2017</v>
      </c>
      <c r="B238">
        <f t="shared" si="11"/>
        <v>9</v>
      </c>
      <c r="C238" s="4">
        <f t="shared" si="9"/>
        <v>42979</v>
      </c>
      <c r="D238" s="5">
        <v>0.39341848504929522</v>
      </c>
      <c r="E238" s="5">
        <v>0.30373924353003645</v>
      </c>
      <c r="F238" s="6">
        <v>1105.8730402259603</v>
      </c>
    </row>
    <row r="239" spans="1:6">
      <c r="A239">
        <f t="shared" si="10"/>
        <v>2017</v>
      </c>
      <c r="B239">
        <f t="shared" si="11"/>
        <v>10</v>
      </c>
      <c r="C239" s="4">
        <f t="shared" si="9"/>
        <v>43009</v>
      </c>
      <c r="D239" s="5">
        <v>0.8510726724363038</v>
      </c>
      <c r="E239" s="5">
        <v>0.97923545164167836</v>
      </c>
      <c r="F239" s="6">
        <v>707.55189687480402</v>
      </c>
    </row>
    <row r="240" spans="1:6">
      <c r="A240">
        <f t="shared" si="10"/>
        <v>2017</v>
      </c>
      <c r="B240">
        <f t="shared" si="11"/>
        <v>11</v>
      </c>
      <c r="C240" s="4">
        <f t="shared" si="9"/>
        <v>43040</v>
      </c>
      <c r="D240" s="5">
        <v>0.12231156729921522</v>
      </c>
      <c r="E240" s="5">
        <v>0.29737520726434796</v>
      </c>
      <c r="F240" s="6">
        <v>592.73047339647826</v>
      </c>
    </row>
    <row r="241" spans="1:6">
      <c r="A241">
        <f t="shared" si="10"/>
        <v>2017</v>
      </c>
      <c r="B241">
        <f t="shared" si="11"/>
        <v>12</v>
      </c>
      <c r="C241" s="4">
        <f t="shared" si="9"/>
        <v>43070</v>
      </c>
      <c r="D241" s="5">
        <v>0.21603271363294674</v>
      </c>
      <c r="E241" s="5">
        <v>0.84953406985675051</v>
      </c>
      <c r="F241" s="6">
        <v>719.82658620664142</v>
      </c>
    </row>
    <row r="242" spans="1:6">
      <c r="A242">
        <f t="shared" si="10"/>
        <v>2018</v>
      </c>
      <c r="B242">
        <f t="shared" si="11"/>
        <v>1</v>
      </c>
      <c r="C242" s="4">
        <f t="shared" si="9"/>
        <v>43101</v>
      </c>
      <c r="D242" s="5">
        <v>0.50242666757281029</v>
      </c>
      <c r="E242" s="5">
        <v>0.85803758078270365</v>
      </c>
      <c r="F242" s="6">
        <v>-85.004897343259358</v>
      </c>
    </row>
    <row r="243" spans="1:6">
      <c r="A243">
        <f t="shared" si="10"/>
        <v>2018</v>
      </c>
      <c r="B243">
        <f t="shared" si="11"/>
        <v>2</v>
      </c>
      <c r="C243" s="4">
        <f t="shared" si="9"/>
        <v>43132</v>
      </c>
      <c r="D243" s="5">
        <v>0.81670490549268915</v>
      </c>
      <c r="E243" s="5">
        <v>0.41337502908150647</v>
      </c>
      <c r="F243" s="6">
        <v>424.06411135142423</v>
      </c>
    </row>
    <row r="244" spans="1:6">
      <c r="A244">
        <f t="shared" si="10"/>
        <v>2018</v>
      </c>
      <c r="B244">
        <f t="shared" si="11"/>
        <v>3</v>
      </c>
      <c r="C244" s="4">
        <f t="shared" si="9"/>
        <v>43160</v>
      </c>
      <c r="D244" s="5">
        <v>0.3983867779874567</v>
      </c>
      <c r="E244" s="5">
        <v>0.12184072749364527</v>
      </c>
      <c r="F244" s="6">
        <v>-170.89780348577796</v>
      </c>
    </row>
    <row r="245" spans="1:6">
      <c r="A245">
        <f t="shared" si="10"/>
        <v>2018</v>
      </c>
      <c r="B245">
        <f t="shared" si="11"/>
        <v>4</v>
      </c>
      <c r="C245" s="4">
        <f t="shared" si="9"/>
        <v>43191</v>
      </c>
      <c r="D245" s="5">
        <v>0.61261123110522298</v>
      </c>
      <c r="E245" s="5">
        <v>0.68919889840389092</v>
      </c>
      <c r="F245" s="6">
        <v>-26.297008622285261</v>
      </c>
    </row>
    <row r="246" spans="1:6">
      <c r="A246">
        <f t="shared" si="10"/>
        <v>2018</v>
      </c>
      <c r="B246">
        <f t="shared" si="11"/>
        <v>5</v>
      </c>
      <c r="C246" s="4">
        <f t="shared" si="9"/>
        <v>43221</v>
      </c>
      <c r="D246" s="5">
        <v>0.85926081803481291</v>
      </c>
      <c r="E246" s="5">
        <v>0.48893439525735549</v>
      </c>
      <c r="F246" s="6">
        <v>1172.5665933975856</v>
      </c>
    </row>
    <row r="247" spans="1:6">
      <c r="A247">
        <f t="shared" si="10"/>
        <v>2018</v>
      </c>
      <c r="B247">
        <f t="shared" si="11"/>
        <v>6</v>
      </c>
      <c r="C247" s="4">
        <f t="shared" si="9"/>
        <v>43252</v>
      </c>
      <c r="D247" s="5">
        <v>0.26848884879051826</v>
      </c>
      <c r="E247" s="5">
        <v>0.44080050918305858</v>
      </c>
      <c r="F247" s="6">
        <v>849.16825428106404</v>
      </c>
    </row>
    <row r="248" spans="1:6">
      <c r="A248">
        <f t="shared" si="10"/>
        <v>2018</v>
      </c>
      <c r="B248">
        <f t="shared" si="11"/>
        <v>7</v>
      </c>
      <c r="C248" s="4">
        <f t="shared" si="9"/>
        <v>43282</v>
      </c>
      <c r="D248" s="5">
        <v>0.88821846509584368</v>
      </c>
      <c r="E248" s="5">
        <v>0.20713261359504997</v>
      </c>
      <c r="F248" s="6">
        <v>349.34369525763009</v>
      </c>
    </row>
    <row r="249" spans="1:6">
      <c r="A249">
        <f t="shared" si="10"/>
        <v>2018</v>
      </c>
      <c r="B249">
        <f t="shared" si="11"/>
        <v>8</v>
      </c>
      <c r="C249" s="4">
        <f t="shared" si="9"/>
        <v>43313</v>
      </c>
      <c r="D249" s="5">
        <v>0.53993609232019912</v>
      </c>
      <c r="E249" s="5">
        <v>0.56318009006131287</v>
      </c>
      <c r="F249" s="6">
        <v>912.64178281093086</v>
      </c>
    </row>
    <row r="250" spans="1:6">
      <c r="A250">
        <f t="shared" si="10"/>
        <v>2018</v>
      </c>
      <c r="B250">
        <f t="shared" si="11"/>
        <v>9</v>
      </c>
      <c r="C250" s="4">
        <f t="shared" si="9"/>
        <v>43344</v>
      </c>
      <c r="D250" s="5">
        <v>0.93023835522898135</v>
      </c>
      <c r="E250" s="5">
        <v>0.49284730888505535</v>
      </c>
      <c r="F250" s="6">
        <v>1178.4516869766294</v>
      </c>
    </row>
    <row r="251" spans="1:6">
      <c r="A251">
        <f t="shared" si="10"/>
        <v>2018</v>
      </c>
      <c r="B251">
        <f t="shared" si="11"/>
        <v>10</v>
      </c>
      <c r="C251" s="4">
        <f t="shared" si="9"/>
        <v>43374</v>
      </c>
      <c r="D251" s="5">
        <v>0.80028457226495564</v>
      </c>
      <c r="E251" s="5">
        <v>0.87125663563064804</v>
      </c>
      <c r="F251" s="6">
        <v>828.5400795831431</v>
      </c>
    </row>
    <row r="252" spans="1:6">
      <c r="A252">
        <f t="shared" si="10"/>
        <v>2018</v>
      </c>
      <c r="B252">
        <f t="shared" si="11"/>
        <v>11</v>
      </c>
      <c r="C252" s="4">
        <f t="shared" si="9"/>
        <v>43405</v>
      </c>
      <c r="D252" s="5">
        <v>0.7183492562972118</v>
      </c>
      <c r="E252" s="5">
        <v>0.54056966839933274</v>
      </c>
      <c r="F252" s="6">
        <v>860.84860517180391</v>
      </c>
    </row>
    <row r="253" spans="1:6">
      <c r="A253">
        <f t="shared" si="10"/>
        <v>2018</v>
      </c>
      <c r="B253">
        <f t="shared" si="11"/>
        <v>12</v>
      </c>
      <c r="C253" s="4">
        <f t="shared" si="9"/>
        <v>43435</v>
      </c>
      <c r="D253" s="5">
        <v>0.66586121596552306</v>
      </c>
      <c r="E253" s="5">
        <v>0.8217906985745842</v>
      </c>
      <c r="F253" s="6">
        <v>701.46604100649847</v>
      </c>
    </row>
    <row r="254" spans="1:6">
      <c r="A254">
        <f t="shared" si="10"/>
        <v>2019</v>
      </c>
      <c r="B254">
        <f t="shared" si="11"/>
        <v>1</v>
      </c>
      <c r="C254" s="4">
        <f t="shared" si="9"/>
        <v>43466</v>
      </c>
      <c r="D254" s="5">
        <v>0.86459784322354361</v>
      </c>
      <c r="E254" s="5">
        <v>0.81515056813215714</v>
      </c>
      <c r="F254" s="6">
        <v>-53.17253345712021</v>
      </c>
    </row>
    <row r="255" spans="1:6">
      <c r="A255">
        <f t="shared" si="10"/>
        <v>2019</v>
      </c>
      <c r="B255">
        <f t="shared" si="11"/>
        <v>2</v>
      </c>
      <c r="C255" s="4">
        <f t="shared" si="9"/>
        <v>43497</v>
      </c>
      <c r="D255" s="5">
        <v>0.61696042002971463</v>
      </c>
      <c r="E255" s="5">
        <v>0.5663177911009224</v>
      </c>
      <c r="F255" s="6">
        <v>436.99753586902074</v>
      </c>
    </row>
    <row r="256" spans="1:6">
      <c r="A256">
        <f t="shared" si="10"/>
        <v>2019</v>
      </c>
      <c r="B256">
        <f t="shared" si="11"/>
        <v>3</v>
      </c>
      <c r="C256" s="4">
        <f t="shared" si="9"/>
        <v>43525</v>
      </c>
      <c r="D256" s="5">
        <v>0.85890756894176845</v>
      </c>
      <c r="E256" s="5">
        <v>0.57764569436417235</v>
      </c>
      <c r="F256" s="6">
        <v>56.764024382660182</v>
      </c>
    </row>
    <row r="257" spans="1:6">
      <c r="A257">
        <f t="shared" si="10"/>
        <v>2019</v>
      </c>
      <c r="B257">
        <f t="shared" si="11"/>
        <v>4</v>
      </c>
      <c r="C257" s="4">
        <f t="shared" si="9"/>
        <v>43556</v>
      </c>
      <c r="D257" s="5">
        <v>0.35359833920374173</v>
      </c>
      <c r="E257" s="5">
        <v>0.34840293970421699</v>
      </c>
      <c r="F257" s="6">
        <v>186.98174944395805</v>
      </c>
    </row>
    <row r="258" spans="1:6">
      <c r="A258">
        <f t="shared" si="10"/>
        <v>2019</v>
      </c>
      <c r="B258">
        <f t="shared" si="11"/>
        <v>5</v>
      </c>
      <c r="C258" s="4">
        <f t="shared" si="9"/>
        <v>43586</v>
      </c>
      <c r="D258" s="5">
        <v>0.9464550249066892</v>
      </c>
      <c r="E258" s="5">
        <v>0.4279194999358239</v>
      </c>
      <c r="F258" s="6">
        <v>1082.5866836980815</v>
      </c>
    </row>
    <row r="259" spans="1:6">
      <c r="A259">
        <f t="shared" si="10"/>
        <v>2019</v>
      </c>
      <c r="B259">
        <f t="shared" si="11"/>
        <v>6</v>
      </c>
      <c r="C259" s="4">
        <f t="shared" ref="C259:C311" si="12">DATE(A259,B259,1)</f>
        <v>43617</v>
      </c>
      <c r="D259" s="5">
        <v>0.20338437614623173</v>
      </c>
      <c r="E259" s="5">
        <v>8.5003920952403389E-2</v>
      </c>
      <c r="F259" s="6">
        <v>848.9254716417031</v>
      </c>
    </row>
    <row r="260" spans="1:6">
      <c r="A260">
        <f t="shared" si="10"/>
        <v>2019</v>
      </c>
      <c r="B260">
        <f t="shared" si="11"/>
        <v>7</v>
      </c>
      <c r="C260" s="4">
        <f t="shared" si="12"/>
        <v>43647</v>
      </c>
      <c r="D260" s="5">
        <v>0.47756609825127339</v>
      </c>
      <c r="E260" s="5">
        <v>0.87499536001742984</v>
      </c>
      <c r="F260" s="6">
        <v>453.37433259763111</v>
      </c>
    </row>
    <row r="261" spans="1:6">
      <c r="A261">
        <f t="shared" si="10"/>
        <v>2019</v>
      </c>
      <c r="B261">
        <f t="shared" si="11"/>
        <v>8</v>
      </c>
      <c r="C261" s="4">
        <f t="shared" si="12"/>
        <v>43678</v>
      </c>
      <c r="D261" s="5">
        <v>0.67626195148082058</v>
      </c>
      <c r="E261" s="5">
        <v>0.20412090219241175</v>
      </c>
      <c r="F261" s="6">
        <v>1058.2204165747505</v>
      </c>
    </row>
    <row r="262" spans="1:6">
      <c r="A262">
        <f t="shared" si="10"/>
        <v>2019</v>
      </c>
      <c r="B262">
        <f t="shared" si="11"/>
        <v>9</v>
      </c>
      <c r="C262" s="4">
        <f t="shared" si="12"/>
        <v>43709</v>
      </c>
      <c r="D262" s="5">
        <v>0.56788320483814159</v>
      </c>
      <c r="E262" s="5">
        <v>0.49372536081353624</v>
      </c>
      <c r="F262" s="6">
        <v>1268.1340749261851</v>
      </c>
    </row>
    <row r="263" spans="1:6">
      <c r="A263">
        <f t="shared" si="10"/>
        <v>2019</v>
      </c>
      <c r="B263">
        <f t="shared" si="11"/>
        <v>10</v>
      </c>
      <c r="C263" s="4">
        <f t="shared" si="12"/>
        <v>43739</v>
      </c>
      <c r="D263" s="5">
        <v>0.74465869097956949</v>
      </c>
      <c r="E263" s="5">
        <v>0.13476856333596376</v>
      </c>
      <c r="F263" s="6">
        <v>747.74939607334386</v>
      </c>
    </row>
    <row r="264" spans="1:6">
      <c r="A264">
        <f t="shared" si="10"/>
        <v>2019</v>
      </c>
      <c r="B264">
        <f t="shared" si="11"/>
        <v>11</v>
      </c>
      <c r="C264" s="4">
        <f t="shared" si="12"/>
        <v>43770</v>
      </c>
      <c r="D264" s="5">
        <v>0.52779337231479373</v>
      </c>
      <c r="E264" s="5">
        <v>0.49024515584557016</v>
      </c>
      <c r="F264" s="6">
        <v>973.63163894257809</v>
      </c>
    </row>
    <row r="265" spans="1:6">
      <c r="A265">
        <f t="shared" si="10"/>
        <v>2019</v>
      </c>
      <c r="B265">
        <f t="shared" si="11"/>
        <v>12</v>
      </c>
      <c r="C265" s="4">
        <f t="shared" si="12"/>
        <v>43800</v>
      </c>
      <c r="D265" s="5">
        <v>0.77286296876067262</v>
      </c>
      <c r="E265" s="5">
        <v>0.8189720409583201</v>
      </c>
      <c r="F265" s="6">
        <v>975.20204330188005</v>
      </c>
    </row>
    <row r="266" spans="1:6">
      <c r="A266">
        <f t="shared" si="10"/>
        <v>2020</v>
      </c>
      <c r="B266">
        <f t="shared" si="11"/>
        <v>1</v>
      </c>
      <c r="C266" s="4">
        <f t="shared" si="12"/>
        <v>43831</v>
      </c>
      <c r="D266" s="5">
        <v>0.92460836303119509</v>
      </c>
      <c r="E266" s="5">
        <v>0.87515561461350821</v>
      </c>
      <c r="F266" s="6">
        <v>266.25288784016288</v>
      </c>
    </row>
    <row r="267" spans="1:6">
      <c r="A267">
        <f t="shared" si="10"/>
        <v>2020</v>
      </c>
      <c r="B267">
        <f t="shared" si="11"/>
        <v>2</v>
      </c>
      <c r="C267" s="4">
        <f t="shared" si="12"/>
        <v>43862</v>
      </c>
      <c r="D267" s="5">
        <v>0.51968470231842911</v>
      </c>
      <c r="E267" s="5">
        <v>0.67813334508950829</v>
      </c>
      <c r="F267" s="6">
        <v>572.18092109349027</v>
      </c>
    </row>
    <row r="268" spans="1:6">
      <c r="A268">
        <f t="shared" si="10"/>
        <v>2020</v>
      </c>
      <c r="B268">
        <f t="shared" si="11"/>
        <v>3</v>
      </c>
      <c r="C268" s="4">
        <f t="shared" si="12"/>
        <v>43891</v>
      </c>
      <c r="D268" s="5">
        <v>9.6041907279533878E-2</v>
      </c>
      <c r="E268" s="5">
        <v>0.50653027648028415</v>
      </c>
      <c r="F268" s="6">
        <v>401.51474758914435</v>
      </c>
    </row>
    <row r="269" spans="1:6">
      <c r="A269">
        <f t="shared" si="10"/>
        <v>2020</v>
      </c>
      <c r="B269">
        <f t="shared" si="11"/>
        <v>4</v>
      </c>
      <c r="C269" s="4">
        <f t="shared" si="12"/>
        <v>43922</v>
      </c>
      <c r="D269" s="5">
        <v>0.60611925491447416</v>
      </c>
      <c r="E269" s="5">
        <v>0.23471540993567597</v>
      </c>
      <c r="F269" s="6">
        <v>468.27098188937657</v>
      </c>
    </row>
    <row r="270" spans="1:6">
      <c r="A270">
        <f t="shared" si="10"/>
        <v>2020</v>
      </c>
      <c r="B270">
        <f t="shared" si="11"/>
        <v>5</v>
      </c>
      <c r="C270" s="4">
        <f t="shared" si="12"/>
        <v>43952</v>
      </c>
      <c r="D270" s="5">
        <v>0.19113689168073589</v>
      </c>
      <c r="E270" s="5">
        <v>0.14997309912201895</v>
      </c>
      <c r="F270" s="6">
        <v>1334.5574682426077</v>
      </c>
    </row>
    <row r="271" spans="1:6">
      <c r="A271">
        <f t="shared" ref="A271:A311" si="13">A259+1</f>
        <v>2020</v>
      </c>
      <c r="B271">
        <f t="shared" ref="B271:B311" si="14">B259</f>
        <v>6</v>
      </c>
      <c r="C271" s="4">
        <f t="shared" si="12"/>
        <v>43983</v>
      </c>
      <c r="D271" s="5">
        <v>0.49557362214884604</v>
      </c>
      <c r="E271" s="5">
        <v>0.46329612354594651</v>
      </c>
      <c r="F271" s="6">
        <v>943.68678376700655</v>
      </c>
    </row>
    <row r="272" spans="1:6">
      <c r="A272">
        <f t="shared" si="13"/>
        <v>2020</v>
      </c>
      <c r="B272">
        <f t="shared" si="14"/>
        <v>7</v>
      </c>
      <c r="C272" s="4">
        <f t="shared" si="12"/>
        <v>44013</v>
      </c>
      <c r="D272" s="5">
        <v>0.70055938767016102</v>
      </c>
      <c r="E272" s="5">
        <v>0.48139596983037902</v>
      </c>
      <c r="F272" s="6">
        <v>436.12897752846447</v>
      </c>
    </row>
    <row r="273" spans="1:6">
      <c r="A273">
        <f t="shared" si="13"/>
        <v>2020</v>
      </c>
      <c r="B273">
        <f t="shared" si="14"/>
        <v>8</v>
      </c>
      <c r="C273" s="4">
        <f t="shared" si="12"/>
        <v>44044</v>
      </c>
      <c r="D273" s="5">
        <v>0.45431262750128099</v>
      </c>
      <c r="E273" s="5">
        <v>0.34561761893976117</v>
      </c>
      <c r="F273" s="6">
        <v>1075.5270567564796</v>
      </c>
    </row>
    <row r="274" spans="1:6">
      <c r="A274">
        <f t="shared" si="13"/>
        <v>2020</v>
      </c>
      <c r="B274">
        <f t="shared" si="14"/>
        <v>9</v>
      </c>
      <c r="C274" s="4">
        <f t="shared" si="12"/>
        <v>44075</v>
      </c>
      <c r="D274" s="5">
        <v>0.16902379791997857</v>
      </c>
      <c r="E274" s="5">
        <v>0.46134110272561191</v>
      </c>
      <c r="F274" s="6">
        <v>1312.4878036496418</v>
      </c>
    </row>
    <row r="275" spans="1:6">
      <c r="A275">
        <f t="shared" si="13"/>
        <v>2020</v>
      </c>
      <c r="B275">
        <f t="shared" si="14"/>
        <v>10</v>
      </c>
      <c r="C275" s="4">
        <f t="shared" si="12"/>
        <v>44105</v>
      </c>
      <c r="D275" s="5">
        <v>0.42760645136013642</v>
      </c>
      <c r="E275" s="5">
        <v>0.25047340485927605</v>
      </c>
      <c r="F275" s="6">
        <v>990.17451735741815</v>
      </c>
    </row>
    <row r="276" spans="1:6">
      <c r="A276">
        <f t="shared" si="13"/>
        <v>2020</v>
      </c>
      <c r="B276">
        <f t="shared" si="14"/>
        <v>11</v>
      </c>
      <c r="C276" s="4">
        <f t="shared" si="12"/>
        <v>44136</v>
      </c>
      <c r="D276" s="5">
        <v>0.76142752135294411</v>
      </c>
      <c r="E276" s="5">
        <v>0.71171662463970764</v>
      </c>
      <c r="F276" s="6">
        <v>1129.6353024369198</v>
      </c>
    </row>
    <row r="277" spans="1:6">
      <c r="A277">
        <f t="shared" si="13"/>
        <v>2020</v>
      </c>
      <c r="B277">
        <f t="shared" si="14"/>
        <v>12</v>
      </c>
      <c r="C277" s="4">
        <f t="shared" si="12"/>
        <v>44166</v>
      </c>
      <c r="D277" s="5">
        <v>0.91405707722807272</v>
      </c>
      <c r="E277" s="5">
        <v>0.91234937353599133</v>
      </c>
      <c r="F277" s="6">
        <v>1090.9500379859307</v>
      </c>
    </row>
    <row r="278" spans="1:6">
      <c r="A278">
        <f t="shared" si="13"/>
        <v>2021</v>
      </c>
      <c r="B278">
        <f t="shared" si="14"/>
        <v>1</v>
      </c>
      <c r="C278" s="4">
        <f t="shared" si="12"/>
        <v>44197</v>
      </c>
      <c r="D278" s="5">
        <v>0.14199742570354701</v>
      </c>
      <c r="E278" s="5">
        <v>0.16138816873123607</v>
      </c>
      <c r="F278" s="6">
        <v>607.24705246690201</v>
      </c>
    </row>
    <row r="279" spans="1:6">
      <c r="A279">
        <f t="shared" si="13"/>
        <v>2021</v>
      </c>
      <c r="B279">
        <f t="shared" si="14"/>
        <v>2</v>
      </c>
      <c r="C279" s="4">
        <f t="shared" si="12"/>
        <v>44228</v>
      </c>
      <c r="D279" s="5">
        <v>0.7384760764313596</v>
      </c>
      <c r="E279" s="5">
        <v>0.20185842117386033</v>
      </c>
      <c r="F279" s="6">
        <v>903.02011447918881</v>
      </c>
    </row>
    <row r="280" spans="1:6">
      <c r="A280">
        <f t="shared" si="13"/>
        <v>2021</v>
      </c>
      <c r="B280">
        <f t="shared" si="14"/>
        <v>3</v>
      </c>
      <c r="C280" s="4">
        <f t="shared" si="12"/>
        <v>44256</v>
      </c>
      <c r="D280" s="5">
        <v>0.33886753057947783</v>
      </c>
      <c r="E280" s="5">
        <v>0.47905891955635638</v>
      </c>
      <c r="F280" s="6">
        <v>339.89774961735588</v>
      </c>
    </row>
    <row r="281" spans="1:6">
      <c r="A281">
        <f t="shared" si="13"/>
        <v>2021</v>
      </c>
      <c r="B281">
        <f t="shared" si="14"/>
        <v>4</v>
      </c>
      <c r="C281" s="4">
        <f t="shared" si="12"/>
        <v>44287</v>
      </c>
      <c r="D281" s="5">
        <v>0.24291905306132688</v>
      </c>
      <c r="E281" s="5">
        <v>0.7562163265176759</v>
      </c>
      <c r="F281" s="6">
        <v>263.83351930323954</v>
      </c>
    </row>
    <row r="282" spans="1:6">
      <c r="A282">
        <f t="shared" si="13"/>
        <v>2021</v>
      </c>
      <c r="B282">
        <f t="shared" si="14"/>
        <v>5</v>
      </c>
      <c r="C282" s="4">
        <f t="shared" si="12"/>
        <v>44317</v>
      </c>
      <c r="D282" s="5">
        <v>0.7568029738530696</v>
      </c>
      <c r="E282" s="5">
        <v>5.7318093052649233E-2</v>
      </c>
      <c r="F282" s="6">
        <v>1140.285613310642</v>
      </c>
    </row>
    <row r="283" spans="1:6">
      <c r="A283">
        <f t="shared" si="13"/>
        <v>2021</v>
      </c>
      <c r="B283">
        <f t="shared" si="14"/>
        <v>6</v>
      </c>
      <c r="C283" s="4">
        <f t="shared" si="12"/>
        <v>44348</v>
      </c>
      <c r="D283" s="5">
        <v>0.35812718467565796</v>
      </c>
      <c r="E283" s="5">
        <v>0.63561791745305174</v>
      </c>
      <c r="F283" s="6">
        <v>760.03064433278826</v>
      </c>
    </row>
    <row r="284" spans="1:6">
      <c r="A284">
        <f t="shared" si="13"/>
        <v>2021</v>
      </c>
      <c r="B284">
        <f t="shared" si="14"/>
        <v>7</v>
      </c>
      <c r="C284" s="4">
        <f t="shared" si="12"/>
        <v>44378</v>
      </c>
      <c r="D284" s="5">
        <v>0.13969338650104424</v>
      </c>
      <c r="E284" s="5">
        <v>0.87323486041817855</v>
      </c>
      <c r="F284" s="6">
        <v>268.31160445300156</v>
      </c>
    </row>
    <row r="285" spans="1:6">
      <c r="A285">
        <f t="shared" si="13"/>
        <v>2021</v>
      </c>
      <c r="B285">
        <f t="shared" si="14"/>
        <v>8</v>
      </c>
      <c r="C285" s="4">
        <f t="shared" si="12"/>
        <v>44409</v>
      </c>
      <c r="D285" s="5">
        <v>7.9645486519809183E-2</v>
      </c>
      <c r="E285" s="5">
        <v>0.97174843078931117</v>
      </c>
      <c r="F285" s="6">
        <v>987.69285901839862</v>
      </c>
    </row>
    <row r="286" spans="1:6">
      <c r="A286">
        <f t="shared" si="13"/>
        <v>2021</v>
      </c>
      <c r="B286">
        <f t="shared" si="14"/>
        <v>9</v>
      </c>
      <c r="C286" s="4">
        <f t="shared" si="12"/>
        <v>44440</v>
      </c>
      <c r="D286" s="5">
        <v>0.76307539679910985</v>
      </c>
      <c r="E286" s="5">
        <v>0.1198901941980316</v>
      </c>
      <c r="F286" s="6">
        <v>1174.8994421209034</v>
      </c>
    </row>
    <row r="287" spans="1:6">
      <c r="A287">
        <f t="shared" si="13"/>
        <v>2021</v>
      </c>
      <c r="B287">
        <f t="shared" si="14"/>
        <v>10</v>
      </c>
      <c r="C287" s="4">
        <f t="shared" si="12"/>
        <v>44470</v>
      </c>
      <c r="D287" s="5">
        <v>0.92013033346339923</v>
      </c>
      <c r="E287" s="5">
        <v>0.30124151493698681</v>
      </c>
      <c r="F287" s="6">
        <v>1121.8307023449565</v>
      </c>
    </row>
    <row r="288" spans="1:6">
      <c r="A288">
        <f t="shared" si="13"/>
        <v>2021</v>
      </c>
      <c r="B288">
        <f t="shared" si="14"/>
        <v>11</v>
      </c>
      <c r="C288" s="4">
        <f t="shared" si="12"/>
        <v>44501</v>
      </c>
      <c r="D288" s="5">
        <v>0.33801506309872742</v>
      </c>
      <c r="E288" s="5">
        <v>0.41942098894363244</v>
      </c>
      <c r="F288" s="6">
        <v>1249.1113964459753</v>
      </c>
    </row>
    <row r="289" spans="1:6">
      <c r="A289">
        <f t="shared" si="13"/>
        <v>2021</v>
      </c>
      <c r="B289">
        <f t="shared" si="14"/>
        <v>12</v>
      </c>
      <c r="C289" s="4">
        <f t="shared" si="12"/>
        <v>44531</v>
      </c>
      <c r="D289" s="5">
        <v>0.49668968847884076</v>
      </c>
      <c r="E289" s="5">
        <v>6.8717906260176376E-2</v>
      </c>
      <c r="F289" s="6">
        <v>1019.1703344185544</v>
      </c>
    </row>
    <row r="290" spans="1:6">
      <c r="A290">
        <f t="shared" si="13"/>
        <v>2022</v>
      </c>
      <c r="B290">
        <f t="shared" si="14"/>
        <v>1</v>
      </c>
      <c r="C290" s="4">
        <f t="shared" si="12"/>
        <v>44562</v>
      </c>
      <c r="D290" s="5">
        <v>0.13586317888357202</v>
      </c>
      <c r="E290" s="5">
        <v>0.72646215954118953</v>
      </c>
      <c r="F290" s="6">
        <v>672.38276423529624</v>
      </c>
    </row>
    <row r="291" spans="1:6">
      <c r="A291">
        <f t="shared" si="13"/>
        <v>2022</v>
      </c>
      <c r="B291">
        <f t="shared" si="14"/>
        <v>2</v>
      </c>
      <c r="C291" s="4">
        <f t="shared" si="12"/>
        <v>44593</v>
      </c>
      <c r="D291" s="5">
        <v>0.59130329728405329</v>
      </c>
      <c r="E291" s="5">
        <v>0.2727315206320402</v>
      </c>
      <c r="F291" s="6">
        <v>904.45575225747916</v>
      </c>
    </row>
    <row r="292" spans="1:6">
      <c r="A292">
        <f t="shared" si="13"/>
        <v>2022</v>
      </c>
      <c r="B292">
        <f t="shared" si="14"/>
        <v>3</v>
      </c>
      <c r="C292" s="4">
        <f t="shared" si="12"/>
        <v>44621</v>
      </c>
      <c r="D292" s="5">
        <v>0.46480187106048954</v>
      </c>
      <c r="E292" s="5">
        <v>0.48198725411200016</v>
      </c>
      <c r="F292" s="6">
        <v>388.17358513467298</v>
      </c>
    </row>
    <row r="293" spans="1:6">
      <c r="A293">
        <f t="shared" si="13"/>
        <v>2022</v>
      </c>
      <c r="B293">
        <f t="shared" si="14"/>
        <v>4</v>
      </c>
      <c r="C293" s="4">
        <f t="shared" si="12"/>
        <v>44652</v>
      </c>
      <c r="D293" s="5">
        <v>0.58282300884838067</v>
      </c>
      <c r="E293" s="5">
        <v>0.69028082558236481</v>
      </c>
      <c r="F293" s="6">
        <v>265.60431453726471</v>
      </c>
    </row>
    <row r="294" spans="1:6">
      <c r="A294">
        <f t="shared" si="13"/>
        <v>2022</v>
      </c>
      <c r="B294">
        <f t="shared" si="14"/>
        <v>5</v>
      </c>
      <c r="C294" s="4">
        <f t="shared" si="12"/>
        <v>44682</v>
      </c>
      <c r="D294" s="5">
        <v>0.11717150493917339</v>
      </c>
      <c r="E294" s="5">
        <v>0.75058842873297116</v>
      </c>
      <c r="F294" s="6">
        <v>968.6300389527263</v>
      </c>
    </row>
    <row r="295" spans="1:6">
      <c r="A295">
        <f t="shared" si="13"/>
        <v>2022</v>
      </c>
      <c r="B295">
        <f t="shared" si="14"/>
        <v>6</v>
      </c>
      <c r="C295" s="4">
        <f t="shared" si="12"/>
        <v>44713</v>
      </c>
      <c r="D295" s="5">
        <v>0.86776941548796638</v>
      </c>
      <c r="E295" s="5">
        <v>0.46931412345632417</v>
      </c>
      <c r="F295" s="6">
        <v>547.5401448770358</v>
      </c>
    </row>
    <row r="296" spans="1:6">
      <c r="A296">
        <f t="shared" si="13"/>
        <v>2022</v>
      </c>
      <c r="B296">
        <f t="shared" si="14"/>
        <v>7</v>
      </c>
      <c r="C296" s="4">
        <f t="shared" si="12"/>
        <v>44743</v>
      </c>
      <c r="D296" s="5">
        <v>0.84559513091118321</v>
      </c>
      <c r="E296" s="5">
        <v>0.48088326495118194</v>
      </c>
      <c r="F296" s="6">
        <v>248.91227033531334</v>
      </c>
    </row>
    <row r="297" spans="1:6">
      <c r="A297">
        <f t="shared" si="13"/>
        <v>2022</v>
      </c>
      <c r="B297">
        <f t="shared" si="14"/>
        <v>8</v>
      </c>
      <c r="C297" s="4">
        <f t="shared" si="12"/>
        <v>44774</v>
      </c>
      <c r="D297" s="5">
        <v>0.65392930143306516</v>
      </c>
      <c r="E297" s="5">
        <v>0.39002943418536196</v>
      </c>
      <c r="F297" s="6">
        <v>927.27995102061095</v>
      </c>
    </row>
    <row r="298" spans="1:6">
      <c r="A298">
        <f t="shared" si="13"/>
        <v>2022</v>
      </c>
      <c r="B298">
        <f t="shared" si="14"/>
        <v>9</v>
      </c>
      <c r="C298" s="4">
        <f t="shared" si="12"/>
        <v>44805</v>
      </c>
      <c r="D298" s="5">
        <v>0.80562041948670793</v>
      </c>
      <c r="E298" s="5">
        <v>0.1262810207158036</v>
      </c>
      <c r="F298" s="6">
        <v>881.85350718357358</v>
      </c>
    </row>
    <row r="299" spans="1:6">
      <c r="A299">
        <f t="shared" si="13"/>
        <v>2022</v>
      </c>
      <c r="B299">
        <f t="shared" si="14"/>
        <v>10</v>
      </c>
      <c r="C299" s="4">
        <f t="shared" si="12"/>
        <v>44835</v>
      </c>
      <c r="D299" s="5">
        <v>0.71526810821597409</v>
      </c>
      <c r="E299" s="5">
        <v>0.30104521728024081</v>
      </c>
      <c r="F299" s="6">
        <v>985.82611975610644</v>
      </c>
    </row>
    <row r="300" spans="1:6">
      <c r="A300">
        <f t="shared" si="13"/>
        <v>2022</v>
      </c>
      <c r="B300">
        <f t="shared" si="14"/>
        <v>11</v>
      </c>
      <c r="C300" s="4">
        <f t="shared" si="12"/>
        <v>44866</v>
      </c>
      <c r="D300" s="5">
        <v>9.0102407509060511E-2</v>
      </c>
      <c r="E300" s="5">
        <v>0.62978813284519142</v>
      </c>
      <c r="F300" s="6">
        <v>1110.6047857057999</v>
      </c>
    </row>
    <row r="301" spans="1:6">
      <c r="A301">
        <f t="shared" si="13"/>
        <v>2022</v>
      </c>
      <c r="B301">
        <f t="shared" si="14"/>
        <v>12</v>
      </c>
      <c r="C301" s="4">
        <f t="shared" si="12"/>
        <v>44896</v>
      </c>
      <c r="D301" s="5">
        <v>0.44033249690688925</v>
      </c>
      <c r="E301" s="5">
        <v>0.58367010865393887</v>
      </c>
      <c r="F301" s="6">
        <v>982.34384342791805</v>
      </c>
    </row>
    <row r="302" spans="1:6">
      <c r="A302">
        <f t="shared" si="13"/>
        <v>2023</v>
      </c>
      <c r="B302">
        <f t="shared" si="14"/>
        <v>1</v>
      </c>
      <c r="C302" s="4">
        <f t="shared" si="12"/>
        <v>44927</v>
      </c>
      <c r="D302" s="5">
        <v>0.50519064118604695</v>
      </c>
      <c r="E302" s="5">
        <v>0.55884037409922716</v>
      </c>
      <c r="F302" s="6">
        <v>685.53235814985032</v>
      </c>
    </row>
    <row r="303" spans="1:6">
      <c r="A303">
        <f t="shared" si="13"/>
        <v>2023</v>
      </c>
      <c r="B303">
        <f t="shared" si="14"/>
        <v>2</v>
      </c>
      <c r="C303" s="4">
        <f t="shared" si="12"/>
        <v>44958</v>
      </c>
      <c r="D303" s="5">
        <v>0.69962638710945713</v>
      </c>
      <c r="E303" s="5">
        <v>0.84271002060162026</v>
      </c>
      <c r="F303" s="6">
        <v>1030.72932963278</v>
      </c>
    </row>
    <row r="304" spans="1:6">
      <c r="A304">
        <f t="shared" si="13"/>
        <v>2023</v>
      </c>
      <c r="B304">
        <f t="shared" si="14"/>
        <v>3</v>
      </c>
      <c r="C304" s="4">
        <f t="shared" si="12"/>
        <v>44986</v>
      </c>
      <c r="D304" s="5">
        <v>0.22923548961122209</v>
      </c>
      <c r="E304" s="5">
        <v>0.44260018291442149</v>
      </c>
      <c r="F304" s="6">
        <v>747.38028753170761</v>
      </c>
    </row>
    <row r="305" spans="1:6">
      <c r="A305">
        <f t="shared" si="13"/>
        <v>2023</v>
      </c>
      <c r="B305">
        <f t="shared" si="14"/>
        <v>4</v>
      </c>
      <c r="C305" s="4">
        <f t="shared" si="12"/>
        <v>45017</v>
      </c>
      <c r="D305" s="5">
        <v>0.79326126769360827</v>
      </c>
      <c r="E305" s="5">
        <v>0.26122296527999944</v>
      </c>
      <c r="F305" s="6">
        <v>498.05895660188264</v>
      </c>
    </row>
    <row r="306" spans="1:6">
      <c r="A306">
        <f t="shared" si="13"/>
        <v>2023</v>
      </c>
      <c r="B306">
        <f t="shared" si="14"/>
        <v>5</v>
      </c>
      <c r="C306" s="4">
        <f t="shared" si="12"/>
        <v>45047</v>
      </c>
      <c r="D306" s="5">
        <v>2.7103197238661503E-3</v>
      </c>
      <c r="E306" s="5">
        <v>0.65190604237168315</v>
      </c>
      <c r="F306" s="6">
        <v>1288.5238066563527</v>
      </c>
    </row>
    <row r="307" spans="1:6">
      <c r="A307">
        <f t="shared" si="13"/>
        <v>2023</v>
      </c>
      <c r="B307">
        <f t="shared" si="14"/>
        <v>6</v>
      </c>
      <c r="C307" s="4">
        <f t="shared" si="12"/>
        <v>45078</v>
      </c>
      <c r="D307" s="5">
        <v>0.76444278352087314</v>
      </c>
      <c r="E307" s="5">
        <v>0.38577676268069561</v>
      </c>
      <c r="F307" s="6">
        <v>975.81870427004912</v>
      </c>
    </row>
    <row r="308" spans="1:6">
      <c r="A308">
        <f t="shared" si="13"/>
        <v>2023</v>
      </c>
      <c r="B308">
        <f t="shared" si="14"/>
        <v>7</v>
      </c>
      <c r="C308" s="4">
        <f t="shared" si="12"/>
        <v>45108</v>
      </c>
      <c r="D308" s="5">
        <v>0.25282427450112288</v>
      </c>
      <c r="E308" s="5">
        <v>0.37217275820851581</v>
      </c>
      <c r="F308" s="6">
        <v>638.14527734332114</v>
      </c>
    </row>
    <row r="309" spans="1:6">
      <c r="A309">
        <f t="shared" si="13"/>
        <v>2023</v>
      </c>
      <c r="B309">
        <f t="shared" si="14"/>
        <v>8</v>
      </c>
      <c r="C309" s="4">
        <f t="shared" si="12"/>
        <v>45139</v>
      </c>
      <c r="D309" s="5">
        <v>0.46410660917931423</v>
      </c>
      <c r="E309" s="5">
        <v>0.76394365391000285</v>
      </c>
      <c r="F309" s="6">
        <v>1100.41972278907</v>
      </c>
    </row>
    <row r="310" spans="1:6">
      <c r="A310">
        <f t="shared" si="13"/>
        <v>2023</v>
      </c>
      <c r="B310">
        <f t="shared" si="14"/>
        <v>9</v>
      </c>
      <c r="C310" s="4">
        <f t="shared" si="12"/>
        <v>45170</v>
      </c>
      <c r="D310" s="5">
        <v>0.31699529989805308</v>
      </c>
      <c r="E310" s="5">
        <v>0.45427080592845515</v>
      </c>
      <c r="F310" s="6">
        <v>853.28272736534609</v>
      </c>
    </row>
    <row r="311" spans="1:6">
      <c r="A311">
        <f t="shared" si="13"/>
        <v>2023</v>
      </c>
      <c r="B311">
        <f t="shared" si="14"/>
        <v>10</v>
      </c>
      <c r="C311" s="4">
        <f t="shared" si="12"/>
        <v>45200</v>
      </c>
      <c r="D311" s="5">
        <v>0.82133021284234298</v>
      </c>
      <c r="E311" s="5">
        <v>2.133703143475052E-2</v>
      </c>
      <c r="F311" s="6">
        <v>789.80643936403499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Fagundes</dc:creator>
  <cp:lastModifiedBy>Matheus Fagundes</cp:lastModifiedBy>
  <dcterms:created xsi:type="dcterms:W3CDTF">2025-11-18T13:24:21Z</dcterms:created>
  <dcterms:modified xsi:type="dcterms:W3CDTF">2025-11-18T23:59:09Z</dcterms:modified>
</cp:coreProperties>
</file>